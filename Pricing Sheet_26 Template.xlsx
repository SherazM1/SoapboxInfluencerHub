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hera\Downloads\"/>
    </mc:Choice>
  </mc:AlternateContent>
  <xr:revisionPtr revIDLastSave="0" documentId="13_ncr:1_{36CD234D-4CD9-4E48-832C-01391330CAEC}" xr6:coauthVersionLast="47" xr6:coauthVersionMax="47" xr10:uidLastSave="{00000000-0000-0000-0000-000000000000}"/>
  <bookViews>
    <workbookView xWindow="-108" yWindow="-108" windowWidth="23256" windowHeight="12456" xr2:uid="{00000000-000D-0000-FFFF-FFFF00000000}"/>
  </bookViews>
  <sheets>
    <sheet name="Influencer Pricing Worksheet" sheetId="1" r:id="rId1"/>
    <sheet name="Insights Pricing Worksheet" sheetId="2" state="hidden" r:id="rId2"/>
    <sheet name="Insights Pricing Worksheet (1)" sheetId="3" state="hidden" r:id="rId3"/>
    <sheet name="Calculator" sheetId="4" r:id="rId4"/>
    <sheet name="Data " sheetId="5" r:id="rId5"/>
    <sheet name="Margin"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1" i="1" l="1"/>
  <c r="I28" i="1"/>
  <c r="P327" i="5"/>
  <c r="I4" i="1"/>
  <c r="P368" i="5"/>
  <c r="M368" i="5"/>
  <c r="J368" i="5"/>
  <c r="F368" i="5"/>
  <c r="G368" i="5"/>
  <c r="P367" i="5"/>
  <c r="M367" i="5"/>
  <c r="J367" i="5"/>
  <c r="F367" i="5"/>
  <c r="G367" i="5"/>
  <c r="P366" i="5" l="1"/>
  <c r="M366" i="5"/>
  <c r="J366" i="5"/>
  <c r="F366" i="5"/>
  <c r="G366" i="5"/>
  <c r="P365" i="5" l="1"/>
  <c r="M365" i="5"/>
  <c r="J365" i="5"/>
  <c r="F365" i="5"/>
  <c r="G365" i="5"/>
  <c r="P364" i="5" l="1"/>
  <c r="M364" i="5"/>
  <c r="J364" i="5"/>
  <c r="F364" i="5"/>
  <c r="G364" i="5"/>
  <c r="P363" i="5" l="1"/>
  <c r="M363" i="5"/>
  <c r="J363" i="5"/>
  <c r="F363" i="5"/>
  <c r="G363" i="5"/>
  <c r="P362" i="5" l="1"/>
  <c r="M362" i="5"/>
  <c r="J362" i="5"/>
  <c r="F362" i="5"/>
  <c r="G362" i="5"/>
  <c r="P361" i="5" l="1"/>
  <c r="M361" i="5"/>
  <c r="J361" i="5"/>
  <c r="F361" i="5"/>
  <c r="G361" i="5"/>
  <c r="P360" i="5" l="1"/>
  <c r="M360" i="5"/>
  <c r="J360" i="5"/>
  <c r="F360" i="5"/>
  <c r="G360" i="5"/>
  <c r="P359" i="5" l="1"/>
  <c r="M359" i="5"/>
  <c r="J359" i="5"/>
  <c r="F359" i="5"/>
  <c r="G359" i="5"/>
  <c r="P358" i="5" l="1"/>
  <c r="M358" i="5"/>
  <c r="J358" i="5"/>
  <c r="F358" i="5"/>
  <c r="G358" i="5"/>
  <c r="P357" i="5" l="1"/>
  <c r="M357" i="5"/>
  <c r="J357" i="5"/>
  <c r="F357" i="5"/>
  <c r="G357" i="5"/>
  <c r="P356" i="5" l="1"/>
  <c r="M356" i="5"/>
  <c r="J356" i="5"/>
  <c r="P355" i="5" l="1"/>
  <c r="M355" i="5"/>
  <c r="J355" i="5"/>
  <c r="P354" i="5" l="1"/>
  <c r="M354" i="5"/>
  <c r="J354" i="5"/>
  <c r="G354" i="5" l="1"/>
  <c r="G355" i="5"/>
  <c r="G356" i="5"/>
  <c r="F354" i="5"/>
  <c r="F355" i="5"/>
  <c r="F356" i="5"/>
  <c r="P353" i="5"/>
  <c r="M353" i="5"/>
  <c r="J353" i="5"/>
  <c r="F353" i="5"/>
  <c r="G353" i="5"/>
  <c r="P352" i="5" l="1"/>
  <c r="M352" i="5"/>
  <c r="J352" i="5"/>
  <c r="F352" i="5"/>
  <c r="G352" i="5"/>
  <c r="P351" i="5" l="1"/>
  <c r="M351" i="5"/>
  <c r="J351" i="5"/>
  <c r="F351" i="5"/>
  <c r="G351" i="5"/>
  <c r="P350" i="5" l="1"/>
  <c r="M350" i="5"/>
  <c r="J350" i="5"/>
  <c r="F350" i="5"/>
  <c r="G350" i="5"/>
  <c r="M349" i="5" l="1"/>
  <c r="J349" i="5"/>
  <c r="F349" i="5"/>
  <c r="G349" i="5"/>
  <c r="P348" i="5" l="1"/>
  <c r="P349" i="5"/>
  <c r="M348" i="5"/>
  <c r="J348" i="5"/>
  <c r="G348" i="5"/>
  <c r="F348" i="5"/>
  <c r="P347" i="5" l="1"/>
  <c r="M347" i="5"/>
  <c r="J347" i="5"/>
  <c r="G347" i="5"/>
  <c r="F347" i="5"/>
  <c r="P345" i="5" l="1"/>
  <c r="P346" i="5"/>
  <c r="M345" i="5"/>
  <c r="M346" i="5"/>
  <c r="J345" i="5"/>
  <c r="J346" i="5"/>
  <c r="G345" i="5"/>
  <c r="G346" i="5"/>
  <c r="F345" i="5"/>
  <c r="F346" i="5"/>
  <c r="P344" i="5" l="1"/>
  <c r="M344" i="5"/>
  <c r="J344" i="5"/>
  <c r="F344" i="5"/>
  <c r="G344" i="5"/>
  <c r="P343" i="5" l="1"/>
  <c r="M343" i="5"/>
  <c r="J343" i="5"/>
  <c r="F343" i="5"/>
  <c r="G343" i="5"/>
  <c r="P342" i="5" l="1"/>
  <c r="M342" i="5"/>
  <c r="J342" i="5"/>
  <c r="F342" i="5"/>
  <c r="G342" i="5"/>
  <c r="P341" i="5" l="1"/>
  <c r="M341" i="5"/>
  <c r="J341" i="5"/>
  <c r="F341" i="5"/>
  <c r="G341" i="5"/>
  <c r="P340" i="5" l="1"/>
  <c r="M340" i="5"/>
  <c r="J340" i="5"/>
  <c r="F340" i="5"/>
  <c r="G340" i="5"/>
  <c r="P339" i="5" l="1"/>
  <c r="M339" i="5"/>
  <c r="J339" i="5"/>
  <c r="F339" i="5"/>
  <c r="G339" i="5"/>
  <c r="P338" i="5" l="1"/>
  <c r="M338" i="5"/>
  <c r="F338" i="5"/>
  <c r="G338" i="5"/>
  <c r="J338" i="5" l="1"/>
  <c r="P337" i="5" l="1"/>
  <c r="M337" i="5"/>
  <c r="J337" i="5"/>
  <c r="F337" i="5"/>
  <c r="G337" i="5"/>
  <c r="P336" i="5" l="1"/>
  <c r="M336" i="5"/>
  <c r="J336" i="5"/>
  <c r="F336" i="5" l="1"/>
  <c r="G336" i="5"/>
  <c r="P335" i="5"/>
  <c r="M335" i="5"/>
  <c r="J335" i="5"/>
  <c r="F335" i="5"/>
  <c r="G335" i="5"/>
  <c r="P334" i="5" l="1"/>
  <c r="M334" i="5"/>
  <c r="J334" i="5"/>
  <c r="F334" i="5"/>
  <c r="G334" i="5"/>
  <c r="P333" i="5"/>
  <c r="M333" i="5"/>
  <c r="J333" i="5"/>
  <c r="F333" i="5"/>
  <c r="G333" i="5"/>
  <c r="P332" i="5"/>
  <c r="M332" i="5"/>
  <c r="J332" i="5"/>
  <c r="F332" i="5"/>
  <c r="G332" i="5"/>
  <c r="P331" i="5"/>
  <c r="M331" i="5"/>
  <c r="J331" i="5"/>
  <c r="F331" i="5"/>
  <c r="G331" i="5"/>
  <c r="P330" i="5" l="1"/>
  <c r="M330" i="5"/>
  <c r="J330" i="5"/>
  <c r="F330" i="5"/>
  <c r="G330" i="5"/>
  <c r="P329" i="5" l="1"/>
  <c r="M329" i="5" l="1"/>
  <c r="J329" i="5" l="1"/>
  <c r="F329" i="5" l="1"/>
  <c r="G329" i="5"/>
  <c r="P328" i="5" l="1"/>
  <c r="M328" i="5"/>
  <c r="J328" i="5"/>
  <c r="G328" i="5"/>
  <c r="F328" i="5"/>
  <c r="M327" i="5" l="1"/>
  <c r="J327" i="5"/>
  <c r="F327" i="5"/>
  <c r="G327" i="5"/>
  <c r="P326" i="5" l="1"/>
  <c r="M326" i="5"/>
  <c r="J326" i="5"/>
  <c r="F326" i="5"/>
  <c r="G326" i="5"/>
  <c r="P325" i="5" l="1"/>
  <c r="M325" i="5"/>
  <c r="J325" i="5"/>
  <c r="F325" i="5"/>
  <c r="G325" i="5"/>
  <c r="P324" i="5" l="1"/>
  <c r="M324" i="5"/>
  <c r="J324" i="5"/>
  <c r="F324" i="5"/>
  <c r="G324" i="5"/>
  <c r="P323" i="5" l="1"/>
  <c r="M323" i="5"/>
  <c r="J323" i="5"/>
  <c r="F323" i="5"/>
  <c r="G323" i="5"/>
  <c r="P322" i="5" l="1"/>
  <c r="M322" i="5"/>
  <c r="J322" i="5"/>
  <c r="F322" i="5"/>
  <c r="G322" i="5"/>
  <c r="P321" i="5" l="1"/>
  <c r="M321" i="5"/>
  <c r="J321" i="5"/>
  <c r="G321" i="5"/>
  <c r="P320" i="5" l="1"/>
  <c r="M320" i="5"/>
  <c r="J320" i="5"/>
  <c r="F320" i="5"/>
  <c r="F321" i="5"/>
  <c r="G320" i="5"/>
  <c r="P319" i="5" l="1"/>
  <c r="M319" i="5"/>
  <c r="J319" i="5"/>
  <c r="F319" i="5"/>
  <c r="G319" i="5"/>
  <c r="P318" i="5" l="1"/>
  <c r="M318" i="5"/>
  <c r="J318" i="5"/>
  <c r="F318" i="5"/>
  <c r="G318" i="5"/>
  <c r="P317" i="5" l="1"/>
  <c r="M317" i="5"/>
  <c r="J317" i="5"/>
  <c r="F317" i="5"/>
  <c r="G317" i="5"/>
  <c r="P316" i="5"/>
  <c r="M316" i="5"/>
  <c r="J316" i="5"/>
  <c r="F316" i="5"/>
  <c r="G316" i="5"/>
  <c r="P315" i="5" l="1"/>
  <c r="M315" i="5"/>
  <c r="J315" i="5"/>
  <c r="F315" i="5"/>
  <c r="G315" i="5"/>
  <c r="P314" i="5" l="1"/>
  <c r="M314" i="5"/>
  <c r="J314" i="5"/>
  <c r="F314" i="5"/>
  <c r="G314" i="5"/>
  <c r="P313" i="5" l="1"/>
  <c r="M313" i="5"/>
  <c r="J313" i="5"/>
  <c r="F313" i="5"/>
  <c r="G313" i="5"/>
  <c r="P312" i="5" l="1"/>
  <c r="M312" i="5"/>
  <c r="J312" i="5"/>
  <c r="F312" i="5"/>
  <c r="G312" i="5"/>
  <c r="P311" i="5" l="1"/>
  <c r="M311" i="5"/>
  <c r="J311" i="5"/>
  <c r="F311" i="5"/>
  <c r="G311" i="5"/>
  <c r="P310" i="5" l="1"/>
  <c r="M310" i="5"/>
  <c r="J310" i="5"/>
  <c r="F310" i="5"/>
  <c r="G310" i="5"/>
  <c r="P309" i="5" l="1"/>
  <c r="M309" i="5"/>
  <c r="J309" i="5"/>
  <c r="F309" i="5"/>
  <c r="G309" i="5"/>
  <c r="P308" i="5" l="1"/>
  <c r="M308" i="5"/>
  <c r="J308" i="5"/>
  <c r="F308" i="5"/>
  <c r="G308" i="5"/>
  <c r="P307" i="5" l="1"/>
  <c r="M307" i="5"/>
  <c r="J307" i="5"/>
  <c r="F307" i="5"/>
  <c r="G307" i="5"/>
  <c r="P306" i="5" l="1"/>
  <c r="M306" i="5"/>
  <c r="J306" i="5"/>
  <c r="F306" i="5"/>
  <c r="G306" i="5"/>
  <c r="P305" i="5" l="1"/>
  <c r="M305" i="5" l="1"/>
  <c r="J305" i="5"/>
  <c r="F305" i="5"/>
  <c r="G305" i="5"/>
  <c r="P304" i="5" l="1"/>
  <c r="M304" i="5"/>
  <c r="J304" i="5"/>
  <c r="F304" i="5"/>
  <c r="G304" i="5"/>
  <c r="P303" i="5" l="1"/>
  <c r="M303" i="5"/>
  <c r="J303" i="5"/>
  <c r="F303" i="5"/>
  <c r="G303" i="5"/>
  <c r="P302" i="5" l="1"/>
  <c r="M302" i="5"/>
  <c r="J302" i="5"/>
  <c r="F302" i="5"/>
  <c r="G302" i="5"/>
  <c r="P301" i="5" l="1"/>
  <c r="M301" i="5"/>
  <c r="J301" i="5"/>
  <c r="F301" i="5"/>
  <c r="G301" i="5"/>
  <c r="P300" i="5" l="1"/>
  <c r="M300" i="5"/>
  <c r="J300" i="5"/>
  <c r="F300" i="5"/>
  <c r="G300" i="5"/>
  <c r="J299" i="5" l="1"/>
  <c r="P299" i="5"/>
  <c r="M299" i="5"/>
  <c r="F299" i="5"/>
  <c r="G299" i="5"/>
  <c r="P298" i="5" l="1"/>
  <c r="M298" i="5"/>
  <c r="J298" i="5"/>
  <c r="F298" i="5"/>
  <c r="G298" i="5"/>
  <c r="P297" i="5" l="1"/>
  <c r="M297" i="5"/>
  <c r="J297" i="5"/>
  <c r="F297" i="5"/>
  <c r="G297" i="5"/>
  <c r="P296" i="5" l="1"/>
  <c r="M296" i="5"/>
  <c r="J296" i="5"/>
  <c r="F296" i="5"/>
  <c r="G296" i="5"/>
  <c r="M295" i="5" l="1"/>
  <c r="J295" i="5"/>
  <c r="F295" i="5" l="1"/>
  <c r="G295" i="5"/>
  <c r="P294" i="5"/>
  <c r="M294" i="5"/>
  <c r="J294" i="5"/>
  <c r="F294" i="5"/>
  <c r="G294" i="5"/>
  <c r="P293" i="5" l="1"/>
  <c r="M293" i="5"/>
  <c r="J293" i="5"/>
  <c r="F293" i="5"/>
  <c r="G293" i="5"/>
  <c r="P292" i="5" l="1"/>
  <c r="M292" i="5"/>
  <c r="J292" i="5"/>
  <c r="F292" i="5"/>
  <c r="G292" i="5"/>
  <c r="P291" i="5"/>
  <c r="J291" i="5"/>
  <c r="M291" i="5"/>
  <c r="F291" i="5"/>
  <c r="G291" i="5"/>
  <c r="P290" i="5" l="1"/>
  <c r="M290" i="5"/>
  <c r="J290" i="5"/>
  <c r="F290" i="5"/>
  <c r="G290" i="5"/>
  <c r="P289" i="5" l="1"/>
  <c r="M289" i="5"/>
  <c r="J289" i="5"/>
  <c r="F289" i="5"/>
  <c r="G289" i="5"/>
  <c r="P288" i="5" l="1"/>
  <c r="M288" i="5"/>
  <c r="J288" i="5"/>
  <c r="F288" i="5"/>
  <c r="G288" i="5"/>
  <c r="P287" i="5" l="1"/>
  <c r="M287" i="5"/>
  <c r="J287" i="5"/>
  <c r="F287" i="5"/>
  <c r="G287" i="5"/>
  <c r="P286" i="5"/>
  <c r="M286" i="5"/>
  <c r="J286" i="5"/>
  <c r="F286" i="5"/>
  <c r="G286" i="5"/>
  <c r="P285" i="5"/>
  <c r="M285" i="5"/>
  <c r="J285" i="5"/>
  <c r="F285" i="5"/>
  <c r="G285" i="5"/>
  <c r="P284" i="5" l="1"/>
  <c r="M284" i="5"/>
  <c r="J284" i="5"/>
  <c r="F284" i="5"/>
  <c r="G284" i="5"/>
  <c r="P283" i="5"/>
  <c r="M283" i="5"/>
  <c r="J283" i="5"/>
  <c r="F283" i="5"/>
  <c r="G283" i="5"/>
  <c r="P282" i="5" l="1"/>
  <c r="M282" i="5"/>
  <c r="J282" i="5"/>
  <c r="F282" i="5"/>
  <c r="G282" i="5"/>
  <c r="P281" i="5"/>
  <c r="M281" i="5"/>
  <c r="J281" i="5"/>
  <c r="F281" i="5"/>
  <c r="G281" i="5"/>
  <c r="P280" i="5"/>
  <c r="M280" i="5"/>
  <c r="J280" i="5"/>
  <c r="F280" i="5"/>
  <c r="G280" i="5"/>
  <c r="P279" i="5" l="1"/>
  <c r="M279" i="5"/>
  <c r="J279" i="5"/>
  <c r="F279" i="5"/>
  <c r="G279" i="5"/>
  <c r="P278" i="5" l="1"/>
  <c r="M278" i="5"/>
  <c r="J278" i="5"/>
  <c r="F278" i="5"/>
  <c r="G278" i="5"/>
  <c r="P277" i="5" l="1"/>
  <c r="M277" i="5"/>
  <c r="J277" i="5"/>
  <c r="F277" i="5"/>
  <c r="G277" i="5"/>
  <c r="P276" i="5"/>
  <c r="M276" i="5"/>
  <c r="J276" i="5"/>
  <c r="F276" i="5"/>
  <c r="G276" i="5"/>
  <c r="P275" i="5" l="1"/>
  <c r="M275" i="5"/>
  <c r="J275" i="5"/>
  <c r="F275" i="5"/>
  <c r="G275" i="5"/>
  <c r="P274" i="5" l="1"/>
  <c r="M274" i="5"/>
  <c r="J274" i="5"/>
  <c r="F274" i="5"/>
  <c r="G274" i="5"/>
  <c r="P273" i="5" l="1"/>
  <c r="M273" i="5"/>
  <c r="J273" i="5"/>
  <c r="F273" i="5"/>
  <c r="G273" i="5"/>
  <c r="P272" i="5" l="1"/>
  <c r="M272" i="5"/>
  <c r="J272" i="5"/>
  <c r="F272" i="5"/>
  <c r="G272" i="5"/>
  <c r="P271" i="5" l="1"/>
  <c r="M271" i="5"/>
  <c r="J271" i="5"/>
  <c r="F271" i="5"/>
  <c r="G271" i="5"/>
  <c r="P270" i="5"/>
  <c r="M270" i="5"/>
  <c r="J270" i="5"/>
  <c r="F270" i="5"/>
  <c r="G270" i="5"/>
  <c r="P269" i="5" l="1"/>
  <c r="M269" i="5"/>
  <c r="J269" i="5"/>
  <c r="F269" i="5"/>
  <c r="G269" i="5"/>
  <c r="P268" i="5" l="1"/>
  <c r="M268" i="5"/>
  <c r="J268" i="5"/>
  <c r="F268" i="5"/>
  <c r="G268" i="5"/>
  <c r="P267" i="5" l="1"/>
  <c r="M267" i="5"/>
  <c r="J267" i="5"/>
  <c r="F267" i="5"/>
  <c r="G267" i="5"/>
  <c r="P266" i="5" l="1"/>
  <c r="M266" i="5"/>
  <c r="J266" i="5"/>
  <c r="F266" i="5"/>
  <c r="G266" i="5"/>
  <c r="P265" i="5" l="1"/>
  <c r="M265" i="5"/>
  <c r="J265" i="5"/>
  <c r="F265" i="5"/>
  <c r="G265" i="5"/>
  <c r="P264" i="5" l="1"/>
  <c r="M264" i="5"/>
  <c r="J264" i="5"/>
  <c r="F264" i="5"/>
  <c r="G264" i="5"/>
  <c r="P263" i="5" l="1"/>
  <c r="M263" i="5"/>
  <c r="J263" i="5"/>
  <c r="F263" i="5"/>
  <c r="G263" i="5"/>
  <c r="P262" i="5"/>
  <c r="M262" i="5"/>
  <c r="J262" i="5"/>
  <c r="F262" i="5"/>
  <c r="G262" i="5"/>
  <c r="P261" i="5" l="1"/>
  <c r="M261" i="5"/>
  <c r="J261" i="5"/>
  <c r="F261" i="5"/>
  <c r="G261" i="5"/>
  <c r="P260" i="5" l="1"/>
  <c r="M260" i="5"/>
  <c r="J260" i="5"/>
  <c r="F260" i="5"/>
  <c r="G260" i="5"/>
  <c r="P259" i="5" l="1"/>
  <c r="M259" i="5"/>
  <c r="J259" i="5"/>
  <c r="F259" i="5"/>
  <c r="G259" i="5"/>
  <c r="P258" i="5" l="1"/>
  <c r="M258" i="5"/>
  <c r="J258" i="5"/>
  <c r="F258" i="5"/>
  <c r="G258" i="5"/>
  <c r="M257" i="5" l="1"/>
  <c r="J257" i="5"/>
  <c r="F257" i="5"/>
  <c r="G257" i="5"/>
  <c r="P256" i="5" l="1"/>
  <c r="M256" i="5"/>
  <c r="J256" i="5"/>
  <c r="F256" i="5"/>
  <c r="G256" i="5"/>
  <c r="P255" i="5" l="1"/>
  <c r="M255" i="5"/>
  <c r="J255" i="5"/>
  <c r="F255" i="5"/>
  <c r="G255" i="5"/>
  <c r="P254" i="5" l="1"/>
  <c r="M254" i="5"/>
  <c r="J254" i="5"/>
  <c r="F254" i="5"/>
  <c r="G254" i="5"/>
  <c r="M253" i="5" l="1"/>
  <c r="J253" i="5"/>
  <c r="F253" i="5"/>
  <c r="G253" i="5"/>
  <c r="P252" i="5"/>
  <c r="M252" i="5"/>
  <c r="J252" i="5"/>
  <c r="F252" i="5"/>
  <c r="G252" i="5"/>
  <c r="P251" i="5" l="1"/>
  <c r="M251" i="5"/>
  <c r="J251" i="5" l="1"/>
  <c r="F251" i="5"/>
  <c r="G251" i="5"/>
  <c r="M250" i="5" l="1"/>
  <c r="J250" i="5"/>
  <c r="F250" i="5"/>
  <c r="G250" i="5"/>
  <c r="M249" i="5" l="1"/>
  <c r="J249" i="5"/>
  <c r="F249" i="5"/>
  <c r="G249" i="5"/>
  <c r="M248" i="5" l="1"/>
  <c r="J248" i="5"/>
  <c r="F248" i="5"/>
  <c r="G248" i="5"/>
  <c r="M247" i="5" l="1"/>
  <c r="J247" i="5"/>
  <c r="F247" i="5"/>
  <c r="G247" i="5"/>
  <c r="M246" i="5" l="1"/>
  <c r="J246" i="5"/>
  <c r="F246" i="5"/>
  <c r="G246" i="5"/>
  <c r="M245" i="5" l="1"/>
  <c r="J245" i="5"/>
  <c r="F245" i="5"/>
  <c r="G245" i="5"/>
  <c r="M244" i="5" l="1"/>
  <c r="J244" i="5"/>
  <c r="F244" i="5"/>
  <c r="G244" i="5"/>
  <c r="M243" i="5" l="1"/>
  <c r="J243" i="5"/>
  <c r="F243" i="5"/>
  <c r="G243" i="5"/>
  <c r="P243" i="5" l="1"/>
  <c r="P244" i="5"/>
  <c r="P247" i="5"/>
  <c r="P248" i="5"/>
  <c r="P250" i="5"/>
  <c r="M242" i="5"/>
  <c r="J242" i="5"/>
  <c r="F242" i="5"/>
  <c r="G242" i="5"/>
  <c r="M241" i="5" l="1"/>
  <c r="J241" i="5"/>
  <c r="F241" i="5"/>
  <c r="G241" i="5"/>
  <c r="P240" i="5" l="1"/>
  <c r="M240" i="5"/>
  <c r="J240" i="5"/>
  <c r="F240" i="5"/>
  <c r="G240" i="5"/>
  <c r="P239" i="5" l="1"/>
  <c r="M239" i="5" l="1"/>
  <c r="J239" i="5"/>
  <c r="F239" i="5"/>
  <c r="G239" i="5"/>
  <c r="P238" i="5" l="1"/>
  <c r="M238" i="5"/>
  <c r="J238" i="5"/>
  <c r="F238" i="5"/>
  <c r="G238" i="5"/>
  <c r="P237" i="5" l="1"/>
  <c r="M237" i="5"/>
  <c r="J237" i="5"/>
  <c r="F237" i="5"/>
  <c r="G237" i="5"/>
  <c r="M236" i="5" l="1"/>
  <c r="J236" i="5"/>
  <c r="F236" i="5"/>
  <c r="G236" i="5"/>
  <c r="P236" i="5" l="1"/>
  <c r="M235" i="5"/>
  <c r="J235" i="5"/>
  <c r="F235" i="5"/>
  <c r="G235" i="5"/>
  <c r="P234" i="5" l="1"/>
  <c r="M234" i="5"/>
  <c r="J234" i="5"/>
  <c r="F234" i="5" l="1"/>
  <c r="G234" i="5"/>
  <c r="P233" i="5" l="1"/>
  <c r="M233" i="5"/>
  <c r="J233" i="5"/>
  <c r="F233" i="5"/>
  <c r="G233" i="5"/>
  <c r="J232" i="5" l="1"/>
  <c r="M232" i="5"/>
  <c r="F232" i="5"/>
  <c r="G232" i="5"/>
  <c r="F231" i="5" l="1"/>
  <c r="G231" i="5"/>
  <c r="P229" i="5" l="1"/>
  <c r="M230" i="5"/>
  <c r="J230" i="5"/>
  <c r="F230" i="5"/>
  <c r="G230" i="5"/>
  <c r="M229" i="5" l="1"/>
  <c r="J229" i="5"/>
  <c r="F229" i="5"/>
  <c r="G229" i="5"/>
  <c r="M228" i="5" l="1"/>
  <c r="J228" i="5"/>
  <c r="F228" i="5"/>
  <c r="G228" i="5"/>
  <c r="P225" i="5" l="1"/>
  <c r="P226" i="5"/>
  <c r="F227" i="5"/>
  <c r="G227" i="5"/>
  <c r="M226" i="5" l="1"/>
  <c r="J226" i="5"/>
  <c r="F226" i="5"/>
  <c r="G226" i="5"/>
  <c r="J225" i="5" l="1"/>
  <c r="M225" i="5"/>
  <c r="F225" i="5"/>
  <c r="G225" i="5"/>
  <c r="M224" i="5" l="1"/>
  <c r="J224" i="5"/>
  <c r="F224" i="5"/>
  <c r="G224" i="5"/>
  <c r="M223" i="5" l="1"/>
  <c r="J223" i="5"/>
  <c r="F223" i="5"/>
  <c r="G223" i="5"/>
  <c r="P221" i="5" l="1"/>
  <c r="M222" i="5"/>
  <c r="J222" i="5"/>
  <c r="F222" i="5"/>
  <c r="G222" i="5"/>
  <c r="M221" i="5" l="1"/>
  <c r="J221" i="5"/>
  <c r="F221" i="5"/>
  <c r="G221" i="5"/>
  <c r="M220" i="5" l="1"/>
  <c r="J220" i="5"/>
  <c r="F220" i="5"/>
  <c r="G220" i="5"/>
  <c r="M219" i="5" l="1"/>
  <c r="J219" i="5"/>
  <c r="F219" i="5"/>
  <c r="G219" i="5"/>
  <c r="P218" i="5" l="1"/>
  <c r="J218" i="5" l="1"/>
  <c r="M218" i="5" l="1"/>
  <c r="F218" i="5" l="1"/>
  <c r="G218" i="5"/>
  <c r="M217" i="5" l="1"/>
  <c r="J217" i="5"/>
  <c r="F217" i="5"/>
  <c r="G217" i="5"/>
  <c r="M216" i="5" l="1"/>
  <c r="J216" i="5"/>
  <c r="F216" i="5"/>
  <c r="G216" i="5"/>
  <c r="M215" i="5" l="1"/>
  <c r="J215" i="5"/>
  <c r="F215" i="5"/>
  <c r="G215" i="5"/>
  <c r="P214" i="5" l="1"/>
  <c r="M214" i="5"/>
  <c r="J214" i="5"/>
  <c r="F214" i="5"/>
  <c r="G214" i="5"/>
  <c r="M213" i="5" l="1"/>
  <c r="J213" i="5"/>
  <c r="F213" i="5"/>
  <c r="G213" i="5"/>
  <c r="M212" i="5"/>
  <c r="J212" i="5"/>
  <c r="F212" i="5"/>
  <c r="G212" i="5"/>
  <c r="P211" i="5"/>
  <c r="M211" i="5"/>
  <c r="J211" i="5"/>
  <c r="F211" i="5"/>
  <c r="G211" i="5"/>
  <c r="P210" i="5"/>
  <c r="M210" i="5"/>
  <c r="J210" i="5"/>
  <c r="F210" i="5"/>
  <c r="G210" i="5"/>
  <c r="P209" i="5"/>
  <c r="M209" i="5"/>
  <c r="J209" i="5"/>
  <c r="F209" i="5"/>
  <c r="G209" i="5"/>
  <c r="P208" i="5"/>
  <c r="M208" i="5"/>
  <c r="J208" i="5"/>
  <c r="F208" i="5"/>
  <c r="G208" i="5"/>
  <c r="P207" i="5"/>
  <c r="M207" i="5"/>
  <c r="J207" i="5"/>
  <c r="F207" i="5"/>
  <c r="G207" i="5"/>
  <c r="P206" i="5" l="1"/>
  <c r="M206" i="5"/>
  <c r="J206" i="5"/>
  <c r="F206" i="5"/>
  <c r="G206" i="5"/>
  <c r="P205" i="5" l="1"/>
  <c r="M205" i="5"/>
  <c r="J205" i="5"/>
  <c r="F205" i="5"/>
  <c r="G205" i="5"/>
  <c r="M204" i="5" l="1"/>
  <c r="J204" i="5"/>
  <c r="F204" i="5"/>
  <c r="G204" i="5"/>
  <c r="P203" i="5" l="1"/>
  <c r="M203" i="5"/>
  <c r="J203" i="5"/>
  <c r="F203" i="5"/>
  <c r="G203" i="5"/>
  <c r="M187" i="5" l="1"/>
  <c r="J187" i="5"/>
  <c r="F187" i="5"/>
  <c r="G187" i="5"/>
  <c r="F202" i="5" l="1"/>
  <c r="G202" i="5"/>
  <c r="P201" i="5" l="1"/>
  <c r="M201" i="5"/>
  <c r="J201" i="5"/>
  <c r="F201" i="5"/>
  <c r="G201" i="5"/>
  <c r="M200" i="5" l="1"/>
  <c r="J200" i="5"/>
  <c r="F200" i="5"/>
  <c r="G200" i="5"/>
  <c r="M199" i="5" l="1"/>
  <c r="J199" i="5"/>
  <c r="F199" i="5"/>
  <c r="G199" i="5"/>
  <c r="P198" i="5" l="1"/>
  <c r="M198" i="5"/>
  <c r="J198" i="5"/>
  <c r="F198" i="5"/>
  <c r="G198" i="5"/>
  <c r="P197" i="5" l="1"/>
  <c r="M197" i="5"/>
  <c r="J197" i="5"/>
  <c r="F197" i="5"/>
  <c r="G197" i="5"/>
  <c r="P196" i="5" l="1"/>
  <c r="M196" i="5"/>
  <c r="J196" i="5"/>
  <c r="F196" i="5"/>
  <c r="G196" i="5"/>
  <c r="P195" i="5" l="1"/>
  <c r="M195" i="5"/>
  <c r="J195" i="5"/>
  <c r="F195" i="5"/>
  <c r="G195" i="5"/>
  <c r="P194" i="5" l="1"/>
  <c r="M194" i="5"/>
  <c r="J194" i="5"/>
  <c r="F194" i="5"/>
  <c r="G194" i="5"/>
  <c r="P193" i="5" l="1"/>
  <c r="M193" i="5"/>
  <c r="J193" i="5"/>
  <c r="F193" i="5"/>
  <c r="G193" i="5"/>
  <c r="P192" i="5" l="1"/>
  <c r="P188" i="5"/>
  <c r="M192" i="5"/>
  <c r="J192" i="5"/>
  <c r="F192" i="5"/>
  <c r="G192" i="5"/>
  <c r="M191" i="5" l="1"/>
  <c r="J191" i="5"/>
  <c r="F191" i="5"/>
  <c r="G191" i="5"/>
  <c r="M190" i="5" l="1"/>
  <c r="J190" i="5"/>
  <c r="F190" i="5"/>
  <c r="G190" i="5"/>
  <c r="M189" i="5" l="1"/>
  <c r="J189" i="5"/>
  <c r="F189" i="5"/>
  <c r="G189" i="5"/>
  <c r="P182" i="5" l="1"/>
  <c r="M188" i="5"/>
  <c r="J188" i="5"/>
  <c r="F188" i="5"/>
  <c r="G188" i="5"/>
  <c r="F186" i="5" l="1"/>
  <c r="G186" i="5"/>
  <c r="M185" i="5" l="1"/>
  <c r="J185" i="5"/>
  <c r="F185" i="5"/>
  <c r="G185" i="5"/>
  <c r="M184" i="5" l="1"/>
  <c r="J184" i="5"/>
  <c r="F184" i="5"/>
  <c r="G184" i="5"/>
  <c r="M183" i="5" l="1"/>
  <c r="J183" i="5"/>
  <c r="F183" i="5"/>
  <c r="G183" i="5"/>
  <c r="M182" i="5" l="1"/>
  <c r="J182" i="5"/>
  <c r="F182" i="5"/>
  <c r="G182" i="5"/>
  <c r="M181" i="5" l="1"/>
  <c r="J181" i="5"/>
  <c r="F181" i="5"/>
  <c r="G181" i="5"/>
  <c r="P180" i="5" l="1"/>
  <c r="M180" i="5"/>
  <c r="J180" i="5"/>
  <c r="F180" i="5"/>
  <c r="G180" i="5"/>
  <c r="P179" i="5" l="1"/>
  <c r="M179" i="5"/>
  <c r="J179" i="5"/>
  <c r="F179" i="5"/>
  <c r="G179" i="5"/>
  <c r="M178" i="5" l="1"/>
  <c r="J178" i="5"/>
  <c r="F178" i="5"/>
  <c r="G178" i="5"/>
  <c r="P177" i="5" l="1"/>
  <c r="M177" i="5"/>
  <c r="J177" i="5"/>
  <c r="F177" i="5"/>
  <c r="G177" i="5"/>
  <c r="P173" i="5" l="1"/>
  <c r="P176" i="5"/>
  <c r="M176" i="5"/>
  <c r="J176" i="5"/>
  <c r="F176" i="5"/>
  <c r="G176" i="5"/>
  <c r="M175" i="5" l="1"/>
  <c r="J172" i="5"/>
  <c r="J173" i="5"/>
  <c r="J174" i="5"/>
  <c r="J175" i="5"/>
  <c r="J171" i="5"/>
  <c r="J166" i="5"/>
  <c r="J161" i="5"/>
  <c r="F175" i="5"/>
  <c r="G175" i="5"/>
  <c r="M174" i="5" l="1"/>
  <c r="F174" i="5"/>
  <c r="G174" i="5"/>
  <c r="M173" i="5" l="1"/>
  <c r="F173" i="5"/>
  <c r="G173" i="5"/>
  <c r="M172" i="5" l="1"/>
  <c r="G172" i="5"/>
  <c r="F172" i="5"/>
  <c r="M171" i="5" l="1"/>
  <c r="F171" i="5"/>
  <c r="G171" i="5"/>
  <c r="F170" i="5" l="1"/>
  <c r="G170" i="5"/>
  <c r="P169" i="5" l="1"/>
  <c r="M169" i="5"/>
  <c r="J169" i="5"/>
  <c r="F169" i="5"/>
  <c r="G169" i="5"/>
  <c r="P168" i="5" l="1"/>
  <c r="M168" i="5"/>
  <c r="J168" i="5"/>
  <c r="F168" i="5"/>
  <c r="G168" i="5"/>
  <c r="M167" i="5"/>
  <c r="J167" i="5"/>
  <c r="F167" i="5"/>
  <c r="G167" i="5"/>
  <c r="M166" i="5"/>
  <c r="F166" i="5"/>
  <c r="G166" i="5"/>
  <c r="M165" i="5"/>
  <c r="J165" i="5"/>
  <c r="F165" i="5"/>
  <c r="G165" i="5"/>
  <c r="P164" i="5"/>
  <c r="M164" i="5"/>
  <c r="J164" i="5"/>
  <c r="F164" i="5"/>
  <c r="G164" i="5"/>
  <c r="M163" i="5"/>
  <c r="J163" i="5"/>
  <c r="F163" i="5"/>
  <c r="G163" i="5"/>
  <c r="P162" i="5"/>
  <c r="M162" i="5"/>
  <c r="J162" i="5"/>
  <c r="F162" i="5"/>
  <c r="G162" i="5"/>
  <c r="P161" i="5"/>
  <c r="M161" i="5"/>
  <c r="F161" i="5"/>
  <c r="G161" i="5"/>
  <c r="M160" i="5"/>
  <c r="J160" i="5"/>
  <c r="F160" i="5"/>
  <c r="G160" i="5"/>
  <c r="F159" i="5"/>
  <c r="G159" i="5"/>
  <c r="P158" i="5"/>
  <c r="M158" i="5"/>
  <c r="J158" i="5"/>
  <c r="F158" i="5"/>
  <c r="G158" i="5"/>
  <c r="P157" i="5"/>
  <c r="M157" i="5"/>
  <c r="J157" i="5"/>
  <c r="F157" i="5"/>
  <c r="G157" i="5"/>
  <c r="P156" i="5"/>
  <c r="M156" i="5"/>
  <c r="J156" i="5"/>
  <c r="F156" i="5"/>
  <c r="G156" i="5"/>
  <c r="P155" i="5"/>
  <c r="M155" i="5"/>
  <c r="J155" i="5"/>
  <c r="F155" i="5"/>
  <c r="G155" i="5"/>
  <c r="M154" i="5"/>
  <c r="J154" i="5"/>
  <c r="F154" i="5"/>
  <c r="G154" i="5"/>
  <c r="G153" i="5"/>
  <c r="F153" i="5"/>
  <c r="P153" i="5"/>
  <c r="M153" i="5"/>
  <c r="J153" i="5"/>
  <c r="P152" i="5"/>
  <c r="M152" i="5"/>
  <c r="J152" i="5"/>
  <c r="F152" i="5"/>
  <c r="G152" i="5"/>
  <c r="P151" i="5"/>
  <c r="M151" i="5"/>
  <c r="J151" i="5"/>
  <c r="F151" i="5"/>
  <c r="G151" i="5"/>
  <c r="M150" i="5"/>
  <c r="J150" i="5"/>
  <c r="F150" i="5"/>
  <c r="G150" i="5"/>
  <c r="M149" i="5"/>
  <c r="J149" i="5"/>
  <c r="F149" i="5"/>
  <c r="G149" i="5"/>
  <c r="P148" i="5"/>
  <c r="M148" i="5"/>
  <c r="J148" i="5"/>
  <c r="F148" i="5"/>
  <c r="G148" i="5"/>
  <c r="F147" i="5"/>
  <c r="G147" i="5"/>
  <c r="P146" i="5"/>
  <c r="M146" i="5"/>
  <c r="J146" i="5"/>
  <c r="F146" i="5"/>
  <c r="G146" i="5"/>
  <c r="P145" i="5"/>
  <c r="M145" i="5"/>
  <c r="J145" i="5"/>
  <c r="F145" i="5"/>
  <c r="G145" i="5"/>
  <c r="M144" i="5"/>
  <c r="J144" i="5"/>
  <c r="G144" i="5"/>
  <c r="F144" i="5"/>
  <c r="M143" i="5"/>
  <c r="J143" i="5"/>
  <c r="F143" i="5"/>
  <c r="G143" i="5"/>
  <c r="P142" i="5"/>
  <c r="J142" i="5"/>
  <c r="F142" i="5"/>
  <c r="G142" i="5"/>
  <c r="P141" i="5"/>
  <c r="M141" i="5"/>
  <c r="J141" i="5"/>
  <c r="F141" i="5"/>
  <c r="G141" i="5"/>
  <c r="F140" i="5"/>
  <c r="F139" i="5"/>
  <c r="F128" i="5"/>
  <c r="M140" i="5"/>
  <c r="J140" i="5"/>
  <c r="F138" i="5"/>
  <c r="G139" i="5"/>
  <c r="G140" i="5"/>
  <c r="M139" i="5"/>
  <c r="J139" i="5"/>
  <c r="M138" i="5"/>
  <c r="J138" i="5"/>
  <c r="G138" i="5"/>
  <c r="P137" i="5"/>
  <c r="M137" i="5"/>
  <c r="J137" i="5"/>
  <c r="F137" i="5"/>
  <c r="G137" i="5"/>
  <c r="M136" i="5"/>
  <c r="J136" i="5"/>
  <c r="F136" i="5"/>
  <c r="G136" i="5"/>
  <c r="M135" i="5"/>
  <c r="J135" i="5"/>
  <c r="F135" i="5"/>
  <c r="G135" i="5"/>
  <c r="P134" i="5"/>
  <c r="M134" i="5"/>
  <c r="J134" i="5"/>
  <c r="F134" i="5"/>
  <c r="G134" i="5"/>
  <c r="M133" i="5"/>
  <c r="J133" i="5"/>
  <c r="F133" i="5"/>
  <c r="G133" i="5"/>
  <c r="P132" i="5"/>
  <c r="M132" i="5"/>
  <c r="J132" i="5"/>
  <c r="F132" i="5"/>
  <c r="G132" i="5"/>
  <c r="P131" i="5"/>
  <c r="M131" i="5"/>
  <c r="J131" i="5"/>
  <c r="F131" i="5"/>
  <c r="G131" i="5"/>
  <c r="P130" i="5"/>
  <c r="M130" i="5"/>
  <c r="J130" i="5"/>
  <c r="F130" i="5"/>
  <c r="G130" i="5"/>
  <c r="P129" i="5"/>
  <c r="M129" i="5"/>
  <c r="J129" i="5"/>
  <c r="F129" i="5"/>
  <c r="G129" i="5"/>
  <c r="P128" i="5"/>
  <c r="M128" i="5"/>
  <c r="J128" i="5"/>
  <c r="G128" i="5"/>
  <c r="P125" i="5"/>
  <c r="F127" i="5" l="1"/>
  <c r="M127" i="5"/>
  <c r="J127" i="5"/>
  <c r="G127" i="5"/>
  <c r="F126" i="5"/>
  <c r="P126" i="5"/>
  <c r="M126" i="5"/>
  <c r="J126" i="5"/>
  <c r="G126" i="5"/>
  <c r="F125" i="5"/>
  <c r="M125" i="5"/>
  <c r="J125" i="5"/>
  <c r="G125" i="5"/>
  <c r="F124" i="5"/>
  <c r="M124" i="5"/>
  <c r="J124" i="5"/>
  <c r="G124" i="5"/>
  <c r="P123" i="5"/>
  <c r="M123" i="5"/>
  <c r="J123" i="5"/>
  <c r="G123" i="5"/>
  <c r="F123" i="5"/>
  <c r="M122" i="5"/>
  <c r="J122" i="5"/>
  <c r="G122" i="5"/>
  <c r="F122" i="5"/>
  <c r="P121" i="5"/>
  <c r="M121" i="5"/>
  <c r="J121" i="5"/>
  <c r="G121" i="5"/>
  <c r="F121" i="5"/>
  <c r="P120" i="5"/>
  <c r="J120" i="5"/>
  <c r="G120" i="5"/>
  <c r="F120" i="5"/>
  <c r="P119" i="5"/>
  <c r="M119" i="5"/>
  <c r="J119" i="5"/>
  <c r="G119" i="5"/>
  <c r="F119" i="5"/>
  <c r="M118" i="5"/>
  <c r="J118" i="5"/>
  <c r="G118" i="5"/>
  <c r="F118" i="5"/>
  <c r="P117" i="5"/>
  <c r="M117" i="5"/>
  <c r="J117" i="5"/>
  <c r="G117" i="5"/>
  <c r="F117" i="5"/>
  <c r="P116" i="5"/>
  <c r="M116" i="5"/>
  <c r="J116" i="5"/>
  <c r="G116" i="5"/>
  <c r="F116" i="5"/>
  <c r="P115" i="5"/>
  <c r="M115" i="5"/>
  <c r="J115" i="5"/>
  <c r="G115" i="5"/>
  <c r="F115" i="5"/>
  <c r="M114" i="5"/>
  <c r="J114" i="5"/>
  <c r="G114" i="5"/>
  <c r="F114" i="5"/>
  <c r="M113" i="5"/>
  <c r="J113" i="5"/>
  <c r="G113" i="5"/>
  <c r="F113" i="5"/>
  <c r="M112" i="5"/>
  <c r="J112" i="5"/>
  <c r="G112" i="5"/>
  <c r="F112" i="5"/>
  <c r="M111" i="5"/>
  <c r="J111" i="5"/>
  <c r="G111" i="5"/>
  <c r="F111" i="5"/>
  <c r="M110" i="5"/>
  <c r="J110" i="5"/>
  <c r="G110" i="5"/>
  <c r="F110" i="5"/>
  <c r="M109" i="5"/>
  <c r="J109" i="5"/>
  <c r="G109" i="5"/>
  <c r="F109" i="5"/>
  <c r="P108" i="5"/>
  <c r="J108" i="5"/>
  <c r="G108" i="5"/>
  <c r="F108" i="5"/>
  <c r="P107" i="5"/>
  <c r="M107" i="5"/>
  <c r="J107" i="5"/>
  <c r="G107" i="5"/>
  <c r="F107" i="5"/>
  <c r="P106" i="5"/>
  <c r="J106" i="5"/>
  <c r="G106" i="5"/>
  <c r="F106" i="5"/>
  <c r="M105" i="5"/>
  <c r="J105" i="5"/>
  <c r="G105" i="5"/>
  <c r="F105" i="5"/>
  <c r="P104" i="5"/>
  <c r="M104" i="5"/>
  <c r="J104" i="5"/>
  <c r="G104" i="5"/>
  <c r="F104" i="5"/>
  <c r="P103" i="5"/>
  <c r="M103" i="5"/>
  <c r="J103" i="5"/>
  <c r="G103" i="5"/>
  <c r="F103" i="5"/>
  <c r="G102" i="5"/>
  <c r="F102" i="5"/>
  <c r="M101" i="5"/>
  <c r="J101" i="5"/>
  <c r="G101" i="5"/>
  <c r="F101" i="5"/>
  <c r="M100" i="5"/>
  <c r="J100" i="5"/>
  <c r="G100" i="5"/>
  <c r="F100" i="5"/>
  <c r="M99" i="5"/>
  <c r="J99" i="5"/>
  <c r="G99" i="5"/>
  <c r="F99" i="5"/>
  <c r="P98" i="5"/>
  <c r="M98" i="5"/>
  <c r="J98" i="5"/>
  <c r="G98" i="5"/>
  <c r="F98" i="5"/>
  <c r="P97" i="5"/>
  <c r="J97" i="5"/>
  <c r="G97" i="5"/>
  <c r="F97" i="5"/>
  <c r="M96" i="5"/>
  <c r="J96" i="5"/>
  <c r="G96" i="5"/>
  <c r="F96" i="5"/>
  <c r="P95" i="5"/>
  <c r="J95" i="5"/>
  <c r="G95" i="5"/>
  <c r="F95" i="5"/>
  <c r="F91" i="5"/>
  <c r="M94" i="5"/>
  <c r="J94" i="5"/>
  <c r="G94" i="5"/>
  <c r="F94" i="5"/>
  <c r="P93" i="5"/>
  <c r="J93" i="5"/>
  <c r="G93" i="5"/>
  <c r="F93" i="5"/>
  <c r="P92" i="5"/>
  <c r="J92" i="5"/>
  <c r="G92" i="5"/>
  <c r="F92" i="5"/>
  <c r="P91" i="5"/>
  <c r="M91" i="5"/>
  <c r="J91" i="5"/>
  <c r="G91" i="5"/>
  <c r="P90" i="5"/>
  <c r="M90" i="5"/>
  <c r="J90" i="5"/>
  <c r="G90" i="5"/>
  <c r="F90" i="5"/>
  <c r="G89" i="5"/>
  <c r="F89" i="5"/>
  <c r="P88" i="5"/>
  <c r="J88" i="5"/>
  <c r="G88" i="5"/>
  <c r="F88" i="5"/>
  <c r="M87" i="5"/>
  <c r="J87" i="5"/>
  <c r="G87" i="5"/>
  <c r="F87" i="5"/>
  <c r="P86" i="5"/>
  <c r="J86" i="5"/>
  <c r="G86" i="5"/>
  <c r="F86" i="5"/>
  <c r="P85" i="5"/>
  <c r="J85" i="5"/>
  <c r="G85" i="5"/>
  <c r="F85" i="5"/>
  <c r="G84" i="5"/>
  <c r="F84" i="5"/>
  <c r="J83" i="5"/>
  <c r="G83" i="5"/>
  <c r="F83" i="5"/>
  <c r="P82" i="5"/>
  <c r="J82" i="5"/>
  <c r="G82" i="5"/>
  <c r="F82" i="5"/>
  <c r="J81" i="5"/>
  <c r="G81" i="5"/>
  <c r="F81" i="5"/>
  <c r="P80" i="5"/>
  <c r="M80" i="5"/>
  <c r="J80" i="5"/>
  <c r="G80" i="5"/>
  <c r="F80" i="5"/>
  <c r="P79" i="5"/>
  <c r="G79" i="5"/>
  <c r="F79" i="5"/>
  <c r="G78" i="5"/>
  <c r="F78" i="5"/>
  <c r="M77" i="5"/>
  <c r="J77" i="5"/>
  <c r="G77" i="5"/>
  <c r="F77" i="5"/>
  <c r="M76" i="5"/>
  <c r="J76" i="5"/>
  <c r="G76" i="5"/>
  <c r="F76" i="5"/>
  <c r="P75" i="5"/>
  <c r="J75" i="5"/>
  <c r="G75" i="5"/>
  <c r="F75" i="5"/>
  <c r="P74" i="5"/>
  <c r="J74" i="5"/>
  <c r="G74" i="5"/>
  <c r="F74" i="5"/>
  <c r="J73" i="5"/>
  <c r="G73" i="5"/>
  <c r="F73" i="5"/>
  <c r="J72" i="5"/>
  <c r="G72" i="5"/>
  <c r="F72" i="5"/>
  <c r="M71" i="5"/>
  <c r="J71" i="5"/>
  <c r="G71" i="5"/>
  <c r="F71" i="5"/>
  <c r="J70" i="5"/>
  <c r="G70" i="5"/>
  <c r="F70" i="5"/>
  <c r="F28" i="4"/>
  <c r="F27" i="4"/>
  <c r="F26" i="4"/>
  <c r="E28" i="4"/>
  <c r="E27" i="4"/>
  <c r="E26" i="4"/>
  <c r="D28" i="4"/>
  <c r="D27" i="4"/>
  <c r="D26" i="4"/>
  <c r="F4" i="1"/>
  <c r="C27" i="1" l="1"/>
  <c r="C16" i="1"/>
  <c r="C13" i="1"/>
  <c r="I16" i="1"/>
  <c r="F16" i="1"/>
  <c r="C4" i="1"/>
  <c r="F13" i="1"/>
  <c r="C19" i="1" l="1"/>
  <c r="C28" i="1" s="1"/>
  <c r="C29" i="1" s="1"/>
  <c r="C31" i="1" s="1"/>
  <c r="F29" i="4"/>
  <c r="E29" i="4"/>
  <c r="D29" i="4"/>
  <c r="C4" i="6" l="1"/>
  <c r="C5" i="6" l="1"/>
  <c r="C6" i="6" s="1"/>
  <c r="M69" i="5"/>
  <c r="J69" i="5"/>
  <c r="G69" i="5"/>
  <c r="F69" i="5"/>
  <c r="P68" i="5"/>
  <c r="J68" i="5"/>
  <c r="G68" i="5"/>
  <c r="F68" i="5"/>
  <c r="M67" i="5"/>
  <c r="J67" i="5"/>
  <c r="G67" i="5"/>
  <c r="F67" i="5"/>
  <c r="J66" i="5"/>
  <c r="G66" i="5"/>
  <c r="F66" i="5"/>
  <c r="P65" i="5"/>
  <c r="J65" i="5"/>
  <c r="G65" i="5"/>
  <c r="F65" i="5"/>
  <c r="P64" i="5"/>
  <c r="J64" i="5"/>
  <c r="G64" i="5"/>
  <c r="F64" i="5"/>
  <c r="J63" i="5"/>
  <c r="G63" i="5"/>
  <c r="F63" i="5"/>
  <c r="G62" i="5"/>
  <c r="F62" i="5"/>
  <c r="M61" i="5"/>
  <c r="J61" i="5"/>
  <c r="G61" i="5"/>
  <c r="F61" i="5"/>
  <c r="P60" i="5"/>
  <c r="J60" i="5"/>
  <c r="G60" i="5"/>
  <c r="F60" i="5"/>
  <c r="M59" i="5"/>
  <c r="J59" i="5"/>
  <c r="G59" i="5"/>
  <c r="F59" i="5"/>
  <c r="P58" i="5"/>
  <c r="M58" i="5"/>
  <c r="J58" i="5"/>
  <c r="G58" i="5"/>
  <c r="F58" i="5"/>
  <c r="P57" i="5"/>
  <c r="J57" i="5"/>
  <c r="G57" i="5"/>
  <c r="F57" i="5"/>
  <c r="P56" i="5"/>
  <c r="J56" i="5"/>
  <c r="G56" i="5"/>
  <c r="F56" i="5"/>
  <c r="G55" i="5"/>
  <c r="F55" i="5"/>
  <c r="P54" i="5"/>
  <c r="J54" i="5"/>
  <c r="G54" i="5"/>
  <c r="F54" i="5"/>
  <c r="P53" i="5"/>
  <c r="M53" i="5"/>
  <c r="J53" i="5"/>
  <c r="G53" i="5"/>
  <c r="F53" i="5"/>
  <c r="P52" i="5"/>
  <c r="J52" i="5"/>
  <c r="G52" i="5"/>
  <c r="F52" i="5"/>
  <c r="J51" i="5"/>
  <c r="G51" i="5"/>
  <c r="F51" i="5"/>
  <c r="P50" i="5"/>
  <c r="J50" i="5"/>
  <c r="G50" i="5"/>
  <c r="F50" i="5"/>
  <c r="P49" i="5"/>
  <c r="J49" i="5"/>
  <c r="G49" i="5"/>
  <c r="F49" i="5"/>
  <c r="M48" i="5"/>
  <c r="J48" i="5"/>
  <c r="G48" i="5"/>
  <c r="F48" i="5"/>
  <c r="P47" i="5"/>
  <c r="J47" i="5"/>
  <c r="G47" i="5"/>
  <c r="F47" i="5"/>
  <c r="M46" i="5"/>
  <c r="J46" i="5"/>
  <c r="G46" i="5"/>
  <c r="F46" i="5"/>
  <c r="J45" i="5"/>
  <c r="G45" i="5"/>
  <c r="F45" i="5"/>
  <c r="J44" i="5"/>
  <c r="G44" i="5"/>
  <c r="F44" i="5"/>
  <c r="P43" i="5"/>
  <c r="J43" i="5"/>
  <c r="G43" i="5"/>
  <c r="F43" i="5"/>
  <c r="P42" i="5"/>
  <c r="J42" i="5"/>
  <c r="G42" i="5"/>
  <c r="F42" i="5"/>
  <c r="P41" i="5"/>
  <c r="J41" i="5"/>
  <c r="G41" i="5"/>
  <c r="F41" i="5"/>
  <c r="J40" i="5"/>
  <c r="G40" i="5"/>
  <c r="F40" i="5"/>
  <c r="J39" i="5"/>
  <c r="G39" i="5"/>
  <c r="F39" i="5"/>
  <c r="P38" i="5"/>
  <c r="J38" i="5"/>
  <c r="G38" i="5"/>
  <c r="F38" i="5"/>
  <c r="M37" i="5"/>
  <c r="J37" i="5"/>
  <c r="G37" i="5"/>
  <c r="F37" i="5"/>
  <c r="P36" i="5"/>
  <c r="J36" i="5"/>
  <c r="G36" i="5"/>
  <c r="F36" i="5"/>
  <c r="P35" i="5"/>
  <c r="J35" i="5"/>
  <c r="G35" i="5"/>
  <c r="F35" i="5"/>
  <c r="J34" i="5"/>
  <c r="G34" i="5"/>
  <c r="F34" i="5"/>
  <c r="J33" i="5"/>
  <c r="G33" i="5"/>
  <c r="F33" i="5"/>
  <c r="J32" i="5"/>
  <c r="G32" i="5"/>
  <c r="F32" i="5"/>
  <c r="J31" i="5"/>
  <c r="G31" i="5"/>
  <c r="F31" i="5"/>
  <c r="J30" i="5"/>
  <c r="G30" i="5"/>
  <c r="F30" i="5"/>
  <c r="P29" i="5"/>
  <c r="G29" i="5"/>
  <c r="F29" i="5"/>
  <c r="G28" i="5"/>
  <c r="F28" i="5"/>
  <c r="P27" i="5"/>
  <c r="G27" i="5"/>
  <c r="F27" i="5"/>
  <c r="M26" i="5"/>
  <c r="J26" i="5"/>
  <c r="G26" i="5"/>
  <c r="F26" i="5"/>
  <c r="P25" i="5"/>
  <c r="J25" i="5"/>
  <c r="G25" i="5"/>
  <c r="F25" i="5"/>
  <c r="P24" i="5"/>
  <c r="J24" i="5"/>
  <c r="G24" i="5"/>
  <c r="F24" i="5"/>
  <c r="P23" i="5"/>
  <c r="J23" i="5"/>
  <c r="G23" i="5"/>
  <c r="F23" i="5"/>
  <c r="G22" i="5"/>
  <c r="F22" i="5"/>
  <c r="J21" i="5"/>
  <c r="G21" i="5"/>
  <c r="F21" i="5"/>
  <c r="M20" i="5"/>
  <c r="J20" i="5"/>
  <c r="G20" i="5"/>
  <c r="F20" i="5"/>
  <c r="J19" i="5"/>
  <c r="G19" i="5"/>
  <c r="F19" i="5"/>
  <c r="J18" i="5"/>
  <c r="G18" i="5"/>
  <c r="F18" i="5"/>
  <c r="J17" i="5"/>
  <c r="G17" i="5"/>
  <c r="F17" i="5"/>
  <c r="J16" i="5"/>
  <c r="G16" i="5"/>
  <c r="F16" i="5"/>
  <c r="J15" i="5"/>
  <c r="G15" i="5"/>
  <c r="F15" i="5"/>
  <c r="J14" i="5"/>
  <c r="G14" i="5"/>
  <c r="F14" i="5"/>
  <c r="J13" i="5"/>
  <c r="G13" i="5"/>
  <c r="F13" i="5"/>
  <c r="J12" i="5"/>
  <c r="G12" i="5"/>
  <c r="F12" i="5"/>
  <c r="J11" i="5"/>
  <c r="G11" i="5"/>
  <c r="F11" i="5"/>
  <c r="J10" i="5"/>
  <c r="G10" i="5"/>
  <c r="F10" i="5"/>
  <c r="J9" i="5"/>
  <c r="G9" i="5"/>
  <c r="F9" i="5"/>
  <c r="G8" i="5"/>
  <c r="F8" i="5"/>
  <c r="G7" i="5"/>
  <c r="F7" i="5"/>
  <c r="G6" i="5"/>
  <c r="F6" i="5"/>
  <c r="J5" i="5"/>
  <c r="G5" i="5"/>
  <c r="F5" i="5"/>
  <c r="J4" i="5"/>
  <c r="G4" i="5"/>
  <c r="F4" i="5"/>
  <c r="J3" i="5"/>
  <c r="G3" i="5"/>
  <c r="F3" i="5"/>
  <c r="J2" i="5"/>
  <c r="G2" i="5"/>
  <c r="F2" i="5"/>
  <c r="F15" i="3"/>
  <c r="O13" i="3"/>
  <c r="O17" i="3" s="1"/>
  <c r="L13" i="3"/>
  <c r="L17" i="3" s="1"/>
  <c r="I13" i="3"/>
  <c r="I17" i="3" s="1"/>
  <c r="F11" i="3"/>
  <c r="O9" i="3"/>
  <c r="L9" i="3"/>
  <c r="I9" i="3"/>
  <c r="F7" i="3"/>
  <c r="O6" i="3"/>
  <c r="L6" i="3"/>
  <c r="I6" i="3"/>
  <c r="C6" i="3"/>
  <c r="C10" i="3" s="1"/>
  <c r="C11" i="3" s="1"/>
  <c r="C12" i="3" s="1"/>
  <c r="O17" i="2"/>
  <c r="O13" i="2"/>
  <c r="L13" i="2"/>
  <c r="L17" i="2" s="1"/>
  <c r="I13" i="2"/>
  <c r="I17" i="2" s="1"/>
  <c r="F11" i="2"/>
  <c r="F15" i="2" s="1"/>
  <c r="O9" i="2"/>
  <c r="L9" i="2"/>
  <c r="I9" i="2"/>
  <c r="F7" i="2"/>
  <c r="F16" i="2" s="1"/>
  <c r="F17" i="2" s="1"/>
  <c r="O6" i="2"/>
  <c r="L6" i="2"/>
  <c r="I6" i="2"/>
  <c r="C6" i="2"/>
  <c r="C10" i="2" s="1"/>
  <c r="C11" i="2" s="1"/>
  <c r="C12" i="2" s="1"/>
  <c r="I27" i="1"/>
  <c r="F27" i="1"/>
  <c r="I13" i="1"/>
  <c r="I19" i="1"/>
  <c r="I29" i="1" l="1"/>
  <c r="I13" i="4"/>
  <c r="H5" i="4"/>
  <c r="J5" i="4"/>
  <c r="J25" i="4"/>
  <c r="H13" i="4"/>
  <c r="J16" i="4"/>
  <c r="I5" i="4"/>
  <c r="C5" i="4"/>
  <c r="D5" i="4"/>
  <c r="E13" i="4"/>
  <c r="D16" i="4" s="1"/>
  <c r="I4" i="6"/>
  <c r="L18" i="2"/>
  <c r="L19" i="2" s="1"/>
  <c r="E5" i="4"/>
  <c r="D8" i="4" s="1"/>
  <c r="K13" i="4"/>
  <c r="K5" i="4"/>
  <c r="O18" i="2"/>
  <c r="O19" i="2" s="1"/>
  <c r="J8" i="4"/>
  <c r="H22" i="4"/>
  <c r="L18" i="3"/>
  <c r="L19" i="3" s="1"/>
  <c r="F16" i="3"/>
  <c r="F17" i="3" s="1"/>
  <c r="B13" i="4"/>
  <c r="I22" i="4"/>
  <c r="C13" i="4"/>
  <c r="J22" i="4"/>
  <c r="I18" i="3"/>
  <c r="I19" i="3" s="1"/>
  <c r="D13" i="4"/>
  <c r="K22" i="4"/>
  <c r="J13" i="4"/>
  <c r="I18" i="2"/>
  <c r="I19" i="2" s="1"/>
  <c r="O18" i="3"/>
  <c r="O19" i="3" s="1"/>
  <c r="F19" i="1"/>
  <c r="F22" i="4" l="1"/>
  <c r="D22" i="4"/>
  <c r="E22" i="4"/>
  <c r="D21" i="4"/>
  <c r="E21" i="4"/>
  <c r="F28" i="1"/>
  <c r="F29" i="1" s="1"/>
  <c r="F4" i="6"/>
  <c r="I5" i="6"/>
  <c r="I6" i="6" s="1"/>
  <c r="F21" i="4"/>
  <c r="F31" i="1" l="1"/>
  <c r="F5" i="6" l="1"/>
  <c r="F6"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4" authorId="0" shapeId="0" xr:uid="{00000000-0006-0000-0100-00000C000000}">
      <text>
        <r>
          <rPr>
            <sz val="10"/>
            <color rgb="FF000000"/>
            <rFont val="Arial"/>
            <family val="2"/>
            <scheme val="minor"/>
          </rPr>
          <t>======
ID#AAAAdFmolec
Microsoft Office User    (2022-03-11 20:33:58)
Hard cost</t>
        </r>
      </text>
    </comment>
    <comment ref="E4" authorId="0" shapeId="0" xr:uid="{00000000-0006-0000-0100-000003000000}">
      <text>
        <r>
          <rPr>
            <sz val="10"/>
            <color rgb="FF000000"/>
            <rFont val="Arial"/>
            <family val="2"/>
            <scheme val="minor"/>
          </rPr>
          <t>======
ID#AAAAdFr6TP0
Microsoft Office User    (2022-03-11 20:33:58)
Expenses for the room, drinks, food etc</t>
        </r>
      </text>
    </comment>
    <comment ref="E5" authorId="0" shapeId="0" xr:uid="{00000000-0006-0000-0100-000001000000}">
      <text>
        <r>
          <rPr>
            <sz val="10"/>
            <color rgb="FF000000"/>
            <rFont val="Arial"/>
            <family val="2"/>
            <scheme val="minor"/>
          </rPr>
          <t>======
ID#AAAAdFr6TPc
Microsoft Office User    (2022-03-11 20:33:58)
An incentive for the bloggers to get more reach. They will give away a gift card</t>
        </r>
      </text>
    </comment>
    <comment ref="B6" authorId="0" shapeId="0" xr:uid="{00000000-0006-0000-0100-000004000000}">
      <text>
        <r>
          <rPr>
            <sz val="10"/>
            <color rgb="FF000000"/>
            <rFont val="Arial"/>
            <family val="2"/>
            <scheme val="minor"/>
          </rPr>
          <t>======
ID#AAAAdFmoleo
Microsoft Office User    (2022-03-11 20:33:58)
Total time to manage program;  Soapboax, admin, and design</t>
        </r>
      </text>
    </comment>
    <comment ref="H7" authorId="0" shapeId="0" xr:uid="{00000000-0006-0000-0100-00000B000000}">
      <text>
        <r>
          <rPr>
            <sz val="10"/>
            <color rgb="FF000000"/>
            <rFont val="Arial"/>
            <family val="2"/>
            <scheme val="minor"/>
          </rPr>
          <t>======
ID#AAAAdFr6TPs
Microsoft Office User    (2022-03-11 20:33:58)
An incentive for the bloggers to get more reach. They will give away a gift card</t>
        </r>
      </text>
    </comment>
    <comment ref="K7" authorId="0" shapeId="0" xr:uid="{00000000-0006-0000-0100-000002000000}">
      <text>
        <r>
          <rPr>
            <sz val="10"/>
            <color rgb="FF000000"/>
            <rFont val="Arial"/>
            <family val="2"/>
            <scheme val="minor"/>
          </rPr>
          <t>======
ID#AAAAdFr6TQQ
Microsoft Office User    (2022-03-11 20:33:58)
An incentive for the bloggers to get more reach. They will give away a gift card</t>
        </r>
      </text>
    </comment>
    <comment ref="N7" authorId="0" shapeId="0" xr:uid="{00000000-0006-0000-0100-00000D000000}">
      <text>
        <r>
          <rPr>
            <sz val="10"/>
            <color rgb="FF000000"/>
            <rFont val="Arial"/>
            <family val="2"/>
            <scheme val="minor"/>
          </rPr>
          <t>======
ID#AAAAdFr6TQg
Microsoft Office User    (2022-03-11 20:33:58)
An incentive for the bloggers to get more reach. They will give away a gift card</t>
        </r>
      </text>
    </comment>
    <comment ref="E8" authorId="0" shapeId="0" xr:uid="{00000000-0006-0000-0100-000013000000}">
      <text>
        <r>
          <rPr>
            <sz val="10"/>
            <color rgb="FF000000"/>
            <rFont val="Arial"/>
            <family val="2"/>
            <scheme val="minor"/>
          </rPr>
          <t>======
ID#AAAAdFr6TQA
Microsoft Office User    (2022-03-11 20:33:58)
Hard cost</t>
        </r>
      </text>
    </comment>
    <comment ref="E9" authorId="0" shapeId="0" xr:uid="{00000000-0006-0000-0100-000005000000}">
      <text>
        <r>
          <rPr>
            <sz val="10"/>
            <color rgb="FF000000"/>
            <rFont val="Arial"/>
            <family val="2"/>
            <scheme val="minor"/>
          </rPr>
          <t>======
ID#AAAAdFmole0
Microsoft Office User    (2022-03-11 20:33:58)
Cost for Stephanie to manage bloggers</t>
        </r>
      </text>
    </comment>
    <comment ref="H10" authorId="0" shapeId="0" xr:uid="{00000000-0006-0000-0100-000011000000}">
      <text>
        <r>
          <rPr>
            <sz val="10"/>
            <color rgb="FF000000"/>
            <rFont val="Arial"/>
            <family val="2"/>
            <scheme val="minor"/>
          </rPr>
          <t>======
ID#AAAAdFr6TPY
Microsoft Office User    (2022-03-11 20:33:58)
Hard cost</t>
        </r>
      </text>
    </comment>
    <comment ref="K10" authorId="0" shapeId="0" xr:uid="{00000000-0006-0000-0100-00000A000000}">
      <text>
        <r>
          <rPr>
            <sz val="10"/>
            <color rgb="FF000000"/>
            <rFont val="Arial"/>
            <family val="2"/>
            <scheme val="minor"/>
          </rPr>
          <t>======
ID#AAAAdFr6TP4
Microsoft Office User    (2022-03-11 20:33:58)
Hard cost</t>
        </r>
      </text>
    </comment>
    <comment ref="N10" authorId="0" shapeId="0" xr:uid="{00000000-0006-0000-0100-000006000000}">
      <text>
        <r>
          <rPr>
            <sz val="10"/>
            <color rgb="FF000000"/>
            <rFont val="Arial"/>
            <family val="2"/>
            <scheme val="minor"/>
          </rPr>
          <t>======
ID#AAAAdFr6TPo
Microsoft Office User    (2022-03-11 20:33:58)
Hard cost</t>
        </r>
      </text>
    </comment>
    <comment ref="E11" authorId="0" shapeId="0" xr:uid="{00000000-0006-0000-0100-000007000000}">
      <text>
        <r>
          <rPr>
            <sz val="10"/>
            <color rgb="FF000000"/>
            <rFont val="Arial"/>
            <family val="2"/>
            <scheme val="minor"/>
          </rPr>
          <t>======
ID#AAAAdFr6TQM
Microsoft Office User    (2022-03-11 20:33:58)
Total time to manage program;  Soapboax, admin, and design</t>
        </r>
      </text>
    </comment>
    <comment ref="H11" authorId="0" shapeId="0" xr:uid="{00000000-0006-0000-0100-000012000000}">
      <text>
        <r>
          <rPr>
            <sz val="10"/>
            <color rgb="FF000000"/>
            <rFont val="Arial"/>
            <family val="2"/>
            <scheme val="minor"/>
          </rPr>
          <t>======
ID#AAAAdFmoleE
Microsoft Office User    (2022-03-11 20:33:58)
Cost for Stephanie to manage bloggers</t>
        </r>
      </text>
    </comment>
    <comment ref="K11" authorId="0" shapeId="0" xr:uid="{00000000-0006-0000-0100-000009000000}">
      <text>
        <r>
          <rPr>
            <sz val="10"/>
            <color rgb="FF000000"/>
            <rFont val="Arial"/>
            <family val="2"/>
            <scheme val="minor"/>
          </rPr>
          <t>======
ID#AAAAdFr6TPk
Microsoft Office User    (2022-03-11 20:33:58)
Cost for Stephanie to manage bloggers</t>
        </r>
      </text>
    </comment>
    <comment ref="N11" authorId="0" shapeId="0" xr:uid="{00000000-0006-0000-0100-00000E000000}">
      <text>
        <r>
          <rPr>
            <sz val="10"/>
            <color rgb="FF000000"/>
            <rFont val="Arial"/>
            <family val="2"/>
            <scheme val="minor"/>
          </rPr>
          <t>======
ID#AAAAdFr6TQc
Microsoft Office User    (2022-03-11 20:33:58)
Cost for Stephanie to manage bloggers</t>
        </r>
      </text>
    </comment>
    <comment ref="H13" authorId="0" shapeId="0" xr:uid="{00000000-0006-0000-0100-000008000000}">
      <text>
        <r>
          <rPr>
            <sz val="10"/>
            <color rgb="FF000000"/>
            <rFont val="Arial"/>
            <family val="2"/>
            <scheme val="minor"/>
          </rPr>
          <t>======
ID#AAAAdFmoles
Microsoft Office User    (2022-03-11 20:33:58)
Total time to manage program;  Soapboax, admin, and design</t>
        </r>
      </text>
    </comment>
    <comment ref="K13" authorId="0" shapeId="0" xr:uid="{00000000-0006-0000-0100-000010000000}">
      <text>
        <r>
          <rPr>
            <sz val="10"/>
            <color rgb="FF000000"/>
            <rFont val="Arial"/>
            <family val="2"/>
            <scheme val="minor"/>
          </rPr>
          <t>======
ID#AAAAdFr6TPM
Microsoft Office User    (2022-03-11 20:33:58)
Total time to manage program;  Soapboax, admin, and design</t>
        </r>
      </text>
    </comment>
    <comment ref="N13" authorId="0" shapeId="0" xr:uid="{00000000-0006-0000-0100-00000F000000}">
      <text>
        <r>
          <rPr>
            <sz val="10"/>
            <color rgb="FF000000"/>
            <rFont val="Arial"/>
            <family val="2"/>
            <scheme val="minor"/>
          </rPr>
          <t>======
ID#AAAAdFr6TPQ
Microsoft Office User    (2022-03-11 20:33:58)
Total time to manage program;  Soapboax, admin, and design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4" authorId="0" shapeId="0" xr:uid="{00000000-0006-0000-0200-000013000000}">
      <text>
        <r>
          <rPr>
            <sz val="10"/>
            <color rgb="FF000000"/>
            <rFont val="Arial"/>
            <family val="2"/>
            <scheme val="minor"/>
          </rPr>
          <t>======
ID#AAAAdFmoleI
Microsoft Office User    (2022-03-11 20:33:58)
Hard cost</t>
        </r>
      </text>
    </comment>
    <comment ref="E4" authorId="0" shapeId="0" xr:uid="{00000000-0006-0000-0200-000008000000}">
      <text>
        <r>
          <rPr>
            <sz val="10"/>
            <color rgb="FF000000"/>
            <rFont val="Arial"/>
            <family val="2"/>
            <scheme val="minor"/>
          </rPr>
          <t>======
ID#AAAAdFr6TPw
Microsoft Office User    (2022-03-11 20:33:58)
Expenses for the room, drinks, food etc</t>
        </r>
      </text>
    </comment>
    <comment ref="E5" authorId="0" shapeId="0" xr:uid="{00000000-0006-0000-0200-00000B000000}">
      <text>
        <r>
          <rPr>
            <sz val="10"/>
            <color rgb="FF000000"/>
            <rFont val="Arial"/>
            <family val="2"/>
            <scheme val="minor"/>
          </rPr>
          <t>======
ID#AAAAdFr6TPI
Microsoft Office User    (2022-03-11 20:33:58)
An incentive for the bloggers to get more reach. They will give away a gift card</t>
        </r>
      </text>
    </comment>
    <comment ref="B6" authorId="0" shapeId="0" xr:uid="{00000000-0006-0000-0200-00000A000000}">
      <text>
        <r>
          <rPr>
            <sz val="10"/>
            <color rgb="FF000000"/>
            <rFont val="Arial"/>
            <family val="2"/>
            <scheme val="minor"/>
          </rPr>
          <t>======
ID#AAAAdFmolek
Microsoft Office User    (2022-03-11 20:33:58)
Total time to manage program;  Soapboax, admin, and design</t>
        </r>
      </text>
    </comment>
    <comment ref="H7" authorId="0" shapeId="0" xr:uid="{00000000-0006-0000-0200-000001000000}">
      <text>
        <r>
          <rPr>
            <sz val="10"/>
            <color rgb="FF000000"/>
            <rFont val="Arial"/>
            <family val="2"/>
            <scheme val="minor"/>
          </rPr>
          <t>======
ID#AAAAdFr6TQI
Microsoft Office User    (2022-03-11 20:33:58)
An incentive for the bloggers to get more reach. They will give away a gift card</t>
        </r>
      </text>
    </comment>
    <comment ref="K7" authorId="0" shapeId="0" xr:uid="{00000000-0006-0000-0200-000002000000}">
      <text>
        <r>
          <rPr>
            <sz val="10"/>
            <color rgb="FF000000"/>
            <rFont val="Arial"/>
            <family val="2"/>
            <scheme val="minor"/>
          </rPr>
          <t>======
ID#AAAAdFmolew
Microsoft Office User    (2022-03-11 20:33:58)
An incentive for the bloggers to get more reach. They will give away a gift card</t>
        </r>
      </text>
    </comment>
    <comment ref="N7" authorId="0" shapeId="0" xr:uid="{00000000-0006-0000-0200-000003000000}">
      <text>
        <r>
          <rPr>
            <sz val="10"/>
            <color rgb="FF000000"/>
            <rFont val="Arial"/>
            <family val="2"/>
            <scheme val="minor"/>
          </rPr>
          <t>======
ID#AAAAdFr6TPg
Microsoft Office User    (2022-03-11 20:33:58)
An incentive for the bloggers to get more reach. They will give away a gift card</t>
        </r>
      </text>
    </comment>
    <comment ref="E8" authorId="0" shapeId="0" xr:uid="{00000000-0006-0000-0200-00000D000000}">
      <text>
        <r>
          <rPr>
            <sz val="10"/>
            <color rgb="FF000000"/>
            <rFont val="Arial"/>
            <family val="2"/>
            <scheme val="minor"/>
          </rPr>
          <t>======
ID#AAAAdFmoleY
Microsoft Office User    (2022-03-11 20:33:58)
Hard cost</t>
        </r>
      </text>
    </comment>
    <comment ref="E9" authorId="0" shapeId="0" xr:uid="{00000000-0006-0000-0200-00000E000000}">
      <text>
        <r>
          <rPr>
            <sz val="10"/>
            <color rgb="FF000000"/>
            <rFont val="Arial"/>
            <family val="2"/>
            <scheme val="minor"/>
          </rPr>
          <t>======
ID#AAAAdFr6TQo
Microsoft Office User    (2022-03-11 20:33:58)
Cost for Stephanie to manage bloggers</t>
        </r>
      </text>
    </comment>
    <comment ref="H10" authorId="0" shapeId="0" xr:uid="{00000000-0006-0000-0200-000009000000}">
      <text>
        <r>
          <rPr>
            <sz val="10"/>
            <color rgb="FF000000"/>
            <rFont val="Arial"/>
            <family val="2"/>
            <scheme val="minor"/>
          </rPr>
          <t>======
ID#AAAAdFr6TQU
Microsoft Office User    (2022-03-11 20:33:58)
Hard cost</t>
        </r>
      </text>
    </comment>
    <comment ref="K10" authorId="0" shapeId="0" xr:uid="{00000000-0006-0000-0200-00000F000000}">
      <text>
        <r>
          <rPr>
            <sz val="10"/>
            <color rgb="FF000000"/>
            <rFont val="Arial"/>
            <family val="2"/>
            <scheme val="minor"/>
          </rPr>
          <t>======
ID#AAAAdFmoleM
Microsoft Office User    (2022-03-11 20:33:58)
Hard cost</t>
        </r>
      </text>
    </comment>
    <comment ref="N10" authorId="0" shapeId="0" xr:uid="{00000000-0006-0000-0200-000011000000}">
      <text>
        <r>
          <rPr>
            <sz val="10"/>
            <color rgb="FF000000"/>
            <rFont val="Arial"/>
            <family val="2"/>
            <scheme val="minor"/>
          </rPr>
          <t>======
ID#AAAAdFmoleQ
Microsoft Office User    (2022-03-11 20:33:58)
Hard cost</t>
        </r>
      </text>
    </comment>
    <comment ref="E11" authorId="0" shapeId="0" xr:uid="{00000000-0006-0000-0200-000010000000}">
      <text>
        <r>
          <rPr>
            <sz val="10"/>
            <color rgb="FF000000"/>
            <rFont val="Arial"/>
            <family val="2"/>
            <scheme val="minor"/>
          </rPr>
          <t>======
ID#AAAAdFr6TQk
Microsoft Office User    (2022-03-11 20:33:58)
Total time to manage program;  Soapboax, admin, and design</t>
        </r>
      </text>
    </comment>
    <comment ref="H11" authorId="0" shapeId="0" xr:uid="{00000000-0006-0000-0200-000005000000}">
      <text>
        <r>
          <rPr>
            <sz val="10"/>
            <color rgb="FF000000"/>
            <rFont val="Arial"/>
            <family val="2"/>
            <scheme val="minor"/>
          </rPr>
          <t>======
ID#AAAAdFr6TQY
Microsoft Office User    (2022-03-11 20:33:58)
Cost for Stephanie to manage bloggers</t>
        </r>
      </text>
    </comment>
    <comment ref="K11" authorId="0" shapeId="0" xr:uid="{00000000-0006-0000-0200-00000C000000}">
      <text>
        <r>
          <rPr>
            <sz val="10"/>
            <color rgb="FF000000"/>
            <rFont val="Arial"/>
            <family val="2"/>
            <scheme val="minor"/>
          </rPr>
          <t>======
ID#AAAAdFmoleU
Microsoft Office User    (2022-03-11 20:33:58)
Cost for Stephanie to manage bloggers</t>
        </r>
      </text>
    </comment>
    <comment ref="N11" authorId="0" shapeId="0" xr:uid="{00000000-0006-0000-0200-000006000000}">
      <text>
        <r>
          <rPr>
            <sz val="10"/>
            <color rgb="FF000000"/>
            <rFont val="Arial"/>
            <family val="2"/>
            <scheme val="minor"/>
          </rPr>
          <t>======
ID#AAAAdFr6TP8
Microsoft Office User    (2022-03-11 20:33:58)
Cost for Stephanie to manage bloggers</t>
        </r>
      </text>
    </comment>
    <comment ref="H13" authorId="0" shapeId="0" xr:uid="{00000000-0006-0000-0200-000007000000}">
      <text>
        <r>
          <rPr>
            <sz val="10"/>
            <color rgb="FF000000"/>
            <rFont val="Arial"/>
            <family val="2"/>
            <scheme val="minor"/>
          </rPr>
          <t>======
ID#AAAAdFmoleg
Microsoft Office User    (2022-03-11 20:33:58)
Total time to manage program;  Soapboax, admin, and design</t>
        </r>
      </text>
    </comment>
    <comment ref="K13" authorId="0" shapeId="0" xr:uid="{00000000-0006-0000-0200-000012000000}">
      <text>
        <r>
          <rPr>
            <sz val="10"/>
            <color rgb="FF000000"/>
            <rFont val="Arial"/>
            <family val="2"/>
            <scheme val="minor"/>
          </rPr>
          <t>======
ID#AAAAdFr6TPU
Microsoft Office User    (2022-03-11 20:33:58)
Total time to manage program;  Soapboax, admin, and design</t>
        </r>
      </text>
    </comment>
    <comment ref="N13" authorId="0" shapeId="0" xr:uid="{00000000-0006-0000-0200-000004000000}">
      <text>
        <r>
          <rPr>
            <sz val="10"/>
            <color rgb="FF000000"/>
            <rFont val="Arial"/>
            <family val="2"/>
            <scheme val="minor"/>
          </rPr>
          <t>======
ID#AAAAdFr6TQE
Microsoft Office User    (2022-03-11 20:33:58)
Total time to manage program;  Soapboax, admin, and design</t>
        </r>
      </text>
    </comment>
  </commentList>
</comments>
</file>

<file path=xl/sharedStrings.xml><?xml version="1.0" encoding="utf-8"?>
<sst xmlns="http://schemas.openxmlformats.org/spreadsheetml/2006/main" count="736" uniqueCount="490">
  <si>
    <t>Total Influencers</t>
  </si>
  <si>
    <t>Home Gatherings</t>
  </si>
  <si>
    <t>Home Gatherings Rate</t>
  </si>
  <si>
    <t>Video Creators</t>
  </si>
  <si>
    <t>Video Creators Rate</t>
  </si>
  <si>
    <t>Participant Total</t>
  </si>
  <si>
    <t>Click 2 Cart</t>
  </si>
  <si>
    <t>Paid Media Spend</t>
  </si>
  <si>
    <t>Product Cost</t>
  </si>
  <si>
    <t>Shipping Cost</t>
  </si>
  <si>
    <t>Product &amp; Shipping Total</t>
  </si>
  <si>
    <t>Analytics &amp; Software</t>
  </si>
  <si>
    <t>Community Costs</t>
  </si>
  <si>
    <t>Hiring Leeway/Performance Incentives</t>
  </si>
  <si>
    <t>Per Hour Internal Rate</t>
  </si>
  <si>
    <t>Time Management Hours</t>
  </si>
  <si>
    <t>Influencer Review</t>
  </si>
  <si>
    <t>Content Review (1 round)</t>
  </si>
  <si>
    <t>Time Management Cost</t>
  </si>
  <si>
    <t>Time + Hard Costs</t>
  </si>
  <si>
    <t>Withholding</t>
  </si>
  <si>
    <t>Program Total</t>
  </si>
  <si>
    <t>SocialListening</t>
  </si>
  <si>
    <t>shopperThink - half day</t>
  </si>
  <si>
    <t>Digital Surveys</t>
  </si>
  <si>
    <t>Store Visits</t>
  </si>
  <si>
    <t>Influencer Panel</t>
  </si>
  <si>
    <t>Software</t>
  </si>
  <si>
    <t>Hard Costs</t>
  </si>
  <si>
    <t>Participants</t>
  </si>
  <si>
    <t>Incentive Value</t>
  </si>
  <si>
    <t>Participant Rate</t>
  </si>
  <si>
    <t>Incentive Quantity</t>
  </si>
  <si>
    <t>Insights</t>
  </si>
  <si>
    <t>Incentive Total</t>
  </si>
  <si>
    <t>Build</t>
  </si>
  <si>
    <t>Design</t>
  </si>
  <si>
    <t>Women's Blogger</t>
  </si>
  <si>
    <t>Total</t>
  </si>
  <si>
    <t>Soapbox</t>
  </si>
  <si>
    <t>Admin</t>
  </si>
  <si>
    <t>Organic Impressions</t>
  </si>
  <si>
    <t>*Paid Impressions</t>
  </si>
  <si>
    <t>Min</t>
  </si>
  <si>
    <t>Max</t>
  </si>
  <si>
    <t>Average</t>
  </si>
  <si>
    <t>Median</t>
  </si>
  <si>
    <t>Min Per $1k</t>
  </si>
  <si>
    <t>Max Per $1k</t>
  </si>
  <si>
    <t>Average Per $1k</t>
  </si>
  <si>
    <t>Median Per $1k</t>
  </si>
  <si>
    <t>Impressions</t>
  </si>
  <si>
    <t>Can vary based on seasonality of program</t>
  </si>
  <si>
    <t>This tracker takes into account all programs, holiday or not, but you</t>
  </si>
  <si>
    <t>Estimated Impression</t>
  </si>
  <si>
    <t>Total Spend</t>
  </si>
  <si>
    <t>will need to use with care when you estimate programs with paid media</t>
  </si>
  <si>
    <t>Enter Here</t>
  </si>
  <si>
    <t>running over the holidays</t>
  </si>
  <si>
    <t>**If client is wanting lots of eyes on a post, use this!**</t>
  </si>
  <si>
    <t>Engagements</t>
  </si>
  <si>
    <t>*Paid Clicks</t>
  </si>
  <si>
    <t>Clicks</t>
  </si>
  <si>
    <t>If you use Click2Cart in a program, YOU NEED TO FACTOR IN CLICK PAID MEDIA</t>
  </si>
  <si>
    <t>**If client wants lots of potential sales and adds to cart, use this**</t>
  </si>
  <si>
    <t>Estimated Engagements</t>
  </si>
  <si>
    <t>Estimated Clicks</t>
  </si>
  <si>
    <t>*Paid Engagements</t>
  </si>
  <si>
    <t>Impressions + Engagements Estimates</t>
  </si>
  <si>
    <t>Organic + Paid Impressions:</t>
  </si>
  <si>
    <t>Organic + Paid Engagements/Clicks:</t>
  </si>
  <si>
    <t>We typically don't run a lot of programs off of Engagements (not unwilling, just doesn't usually align with the program strategy)</t>
  </si>
  <si>
    <t>Copy &gt; Paste Special &gt; Values &amp; Number Formatting, before moving on to your next option</t>
  </si>
  <si>
    <t>Estimated Paid Engagements**</t>
  </si>
  <si>
    <t>Media Breakout (for internal use only)</t>
  </si>
  <si>
    <t>Paid Impressions:</t>
  </si>
  <si>
    <t>**This is only if the program strategy and client is looking for high engagement (likes, comments, shares on posts)**</t>
  </si>
  <si>
    <t>Paid Clicks:</t>
  </si>
  <si>
    <t>Paid Engagements:</t>
  </si>
  <si>
    <t>**includes Video Engagements which are substantially easier to get than static image engagements</t>
  </si>
  <si>
    <t>Total Paid Media Spend:</t>
  </si>
  <si>
    <t>Program</t>
  </si>
  <si>
    <t>Date</t>
  </si>
  <si>
    <t># of Influencers</t>
  </si>
  <si>
    <t xml:space="preserve">Engagements </t>
  </si>
  <si>
    <t>Impressions Per Influencer</t>
  </si>
  <si>
    <t>Engagements Per Influencer</t>
  </si>
  <si>
    <t>Paid Impressions</t>
  </si>
  <si>
    <t>Paid Spend (Impressions)</t>
  </si>
  <si>
    <t>Impressions per $1 Spend</t>
  </si>
  <si>
    <t>Paid Engagement</t>
  </si>
  <si>
    <t>Paid Spend (Engagement)</t>
  </si>
  <si>
    <t>Engagements per $1</t>
  </si>
  <si>
    <t>Paid Clicks</t>
  </si>
  <si>
    <t>Paid Spend (Clicks)</t>
  </si>
  <si>
    <t>Clicks per $1</t>
  </si>
  <si>
    <t>#EggceptionallGreat</t>
  </si>
  <si>
    <t>#CelebrateWithWalmart</t>
  </si>
  <si>
    <t>#CelebrateWithHEB</t>
  </si>
  <si>
    <t>#AllGoodAtWalmart</t>
  </si>
  <si>
    <t>#EggceptionallyGreat</t>
  </si>
  <si>
    <t xml:space="preserve">#PAWatWalmart </t>
  </si>
  <si>
    <t>#AdventureForceFireandRescue and #AdventureForceSharkGarage</t>
  </si>
  <si>
    <t>#LifemadeCoolerFall20</t>
  </si>
  <si>
    <t>#SipLifemadeFall20</t>
  </si>
  <si>
    <t>#InnovasianOccasionWithPublix and #InnovasionOccasionWithWalmart</t>
  </si>
  <si>
    <t>#RegisterAsADoer</t>
  </si>
  <si>
    <t>#DecorateWithWalmart</t>
  </si>
  <si>
    <t>#GroceryGifting2020</t>
  </si>
  <si>
    <t>#SaveMoneyGivePlush</t>
  </si>
  <si>
    <t>#RemingtonReadyWithWalmart</t>
  </si>
  <si>
    <t>#BlueHolidaysAtWalmart</t>
  </si>
  <si>
    <t>#GiftingGreatWithWalgreens</t>
  </si>
  <si>
    <t>#SaveMoneyGiveBetter2020</t>
  </si>
  <si>
    <t>#MikesHotHoneyHoliday</t>
  </si>
  <si>
    <t>#JustOneGameNightAtWalmart</t>
  </si>
  <si>
    <t>#HEBeautifulWithEssano</t>
  </si>
  <si>
    <t>04/31/21</t>
  </si>
  <si>
    <t>#ZotekiCollectiblesAtAmazon</t>
  </si>
  <si>
    <t>#DurexAtWalmart</t>
  </si>
  <si>
    <t>#OrgainProteinAtWalmart</t>
  </si>
  <si>
    <t>#HydrantAtCVS</t>
  </si>
  <si>
    <t>#RemingtonVolumizingBrushAtWalmart</t>
  </si>
  <si>
    <t>#EssanoInTheUSA</t>
  </si>
  <si>
    <t>#RemingtonAir3DAtWalmart</t>
  </si>
  <si>
    <t>#GiftGreatWithWalgreens</t>
  </si>
  <si>
    <t>#CatopiaAtWalmart</t>
  </si>
  <si>
    <t>Nick Great Outdoors</t>
  </si>
  <si>
    <t>SpongeBob Americana</t>
  </si>
  <si>
    <t>#BlueTreatsAtWalmart</t>
  </si>
  <si>
    <t>#YouCantHavePizzaWithoutMikes</t>
  </si>
  <si>
    <t>#LunchWithLM</t>
  </si>
  <si>
    <t>#LalaSummerAtWalmart</t>
  </si>
  <si>
    <t>#SummertimeGametime</t>
  </si>
  <si>
    <t>#BobsAtSprouts</t>
  </si>
  <si>
    <t>#TechUpgradeWithWalmart</t>
  </si>
  <si>
    <t>#SpringIntoArtkansas</t>
  </si>
  <si>
    <t>#InnovasianOccasionwithWalmart</t>
  </si>
  <si>
    <t>-</t>
  </si>
  <si>
    <t>#GerberPrenatalVitamins</t>
  </si>
  <si>
    <t>#OnTheGoWithGerber</t>
  </si>
  <si>
    <t>#SamsClubGiftCards</t>
  </si>
  <si>
    <t>#TruNiagenAtWalmart</t>
  </si>
  <si>
    <t>#HappiestHolidaysWithWalgreens</t>
  </si>
  <si>
    <t>#FallingForARTkansas</t>
  </si>
  <si>
    <t>#BossBaby2atWalmart</t>
  </si>
  <si>
    <t>#TrickForBLUETreatChallenge</t>
  </si>
  <si>
    <t>#TisTheSeasonForMikesHotHoney</t>
  </si>
  <si>
    <t>#promisedlandeggnogatwholefoods</t>
  </si>
  <si>
    <t>#ChooseDeCecco</t>
  </si>
  <si>
    <t>#HowDoYouHydrant</t>
  </si>
  <si>
    <t>#FlexBrewTrioAtWalmart</t>
  </si>
  <si>
    <t>#10YearsofCB</t>
  </si>
  <si>
    <t>#GroceryGifting2021</t>
  </si>
  <si>
    <t>#HolidaysWithRadioFlyer</t>
  </si>
  <si>
    <t>#SamsSeasonOfGifting</t>
  </si>
  <si>
    <t>#WithAmex</t>
  </si>
  <si>
    <t>#GerberToddlerMeals</t>
  </si>
  <si>
    <t>#SnackTimeWithGerber</t>
  </si>
  <si>
    <t>#GiftTheGameWithNBA</t>
  </si>
  <si>
    <t>#DyceGames Tiktok</t>
  </si>
  <si>
    <t>#SaveMoneyGiftBetter2021</t>
  </si>
  <si>
    <t>#GerberBabyNewYear</t>
  </si>
  <si>
    <t>#BodyFantasiesGiftSets</t>
  </si>
  <si>
    <t>#ERROR!</t>
  </si>
  <si>
    <t>Social + Stories</t>
  </si>
  <si>
    <t>Social + Stories Rate</t>
  </si>
  <si>
    <t>Total Hard Costs</t>
  </si>
  <si>
    <t>Profit $</t>
  </si>
  <si>
    <t>Good</t>
  </si>
  <si>
    <t>Better</t>
  </si>
  <si>
    <t>Best</t>
  </si>
  <si>
    <t>Paid Media + C2C</t>
  </si>
  <si>
    <t>Profit Margin</t>
  </si>
  <si>
    <t>GOOD</t>
  </si>
  <si>
    <t>BETTER</t>
  </si>
  <si>
    <t>BEEST</t>
  </si>
  <si>
    <t>#BobsTastes Better</t>
  </si>
  <si>
    <t>#ValentinesDayWithBodyFantasies</t>
  </si>
  <si>
    <t>#BobsAtTarget</t>
  </si>
  <si>
    <t>#GerberBabyValentine</t>
  </si>
  <si>
    <t>#InnovasianAtWalmart</t>
  </si>
  <si>
    <t>#AspireAtSamsClub</t>
  </si>
  <si>
    <t>#AspireAtWalmart</t>
  </si>
  <si>
    <t>#LALAYourWayatHEB</t>
  </si>
  <si>
    <t>#StyleUpWithCampbridgeCasual</t>
  </si>
  <si>
    <t>#HersSkinAtCVS</t>
  </si>
  <si>
    <t>#BobsAtLoblaws</t>
  </si>
  <si>
    <t>#HisenseTaxTimeAtWalmart</t>
  </si>
  <si>
    <t>#KentRidesWithWalmart</t>
  </si>
  <si>
    <t>#SpringTimeWithGerber</t>
  </si>
  <si>
    <t>#PenningtonAtWalmart</t>
  </si>
  <si>
    <t>#InnovasianOccasionWithWalmart</t>
  </si>
  <si>
    <t>#LemiShineatWalmart</t>
  </si>
  <si>
    <t>#OrgainCollagenatWalmart</t>
  </si>
  <si>
    <t>#SpringBakingWithBobs</t>
  </si>
  <si>
    <t>#ArtisanTropicAtTarget</t>
  </si>
  <si>
    <t>#LemiShineatTarget</t>
  </si>
  <si>
    <t>#PlayMobileATeamVanFan</t>
  </si>
  <si>
    <t>#CleanWithPure100</t>
  </si>
  <si>
    <t>#NBAFitCheck</t>
  </si>
  <si>
    <t>#PlantBasedGerberBaby</t>
  </si>
  <si>
    <t>#CelebrateWithGiftCardsatWalgreens</t>
  </si>
  <si>
    <t>#HyperToughAtWalmart</t>
  </si>
  <si>
    <t>#CoolDownWithHyperTough</t>
  </si>
  <si>
    <t>#DIYwithSKILatWalmart</t>
  </si>
  <si>
    <t>#JustFruitCupsatFoodLion</t>
  </si>
  <si>
    <t>#JustFruitCupsatWegmans</t>
  </si>
  <si>
    <t>#PenningtonAtWalmart-Hummingbird</t>
  </si>
  <si>
    <t>#AspireatCostco</t>
  </si>
  <si>
    <t>#GardenWithFlexon</t>
  </si>
  <si>
    <t>#GoFishArkansas</t>
  </si>
  <si>
    <t>#GetSundayAtLowes</t>
  </si>
  <si>
    <t>#TicketToRideSanFranAtTarget</t>
  </si>
  <si>
    <t>#MarvelBattleCubesAtAmazon</t>
  </si>
  <si>
    <t>#GerberPostnatalVitamins</t>
  </si>
  <si>
    <t>#OnTheRoadWithShellPennzoil</t>
  </si>
  <si>
    <t>#WBBallAtTarget</t>
  </si>
  <si>
    <t>#BobsAtWalmart</t>
  </si>
  <si>
    <t>#BackToSchoolWithBobs</t>
  </si>
  <si>
    <t>#GetGrillingWithCharCrust</t>
  </si>
  <si>
    <t>#MyMiniAtWalmart</t>
  </si>
  <si>
    <t>#TurnOnnYourTechAtWalmart</t>
  </si>
  <si>
    <t>#TechTurnUpAtWalmart</t>
  </si>
  <si>
    <t>#AspireinCanada</t>
  </si>
  <si>
    <t>#MegaBeautyEvent</t>
  </si>
  <si>
    <t>#GetSundayAtWalmart</t>
  </si>
  <si>
    <t>#GetSundayAtLowes-Fall</t>
  </si>
  <si>
    <t>#OnTheFarmWithRotella</t>
  </si>
  <si>
    <t>#JustFruitCupsAtWalmart</t>
  </si>
  <si>
    <t>Paw Patrol on Amazon</t>
  </si>
  <si>
    <t>#KeepLifeRollingWithScott</t>
  </si>
  <si>
    <t>#CreepinItRealWithScott</t>
  </si>
  <si>
    <t>#BobsRedMillOatmealCups</t>
  </si>
  <si>
    <t>#FallCleanUpWithHyperTough</t>
  </si>
  <si>
    <t>#FallForGerberSnacks</t>
  </si>
  <si>
    <t xml:space="preserve">Fiskars Fall Cleanup </t>
  </si>
  <si>
    <t>Fiskars Holiday</t>
  </si>
  <si>
    <t>#MadeWithFiskars</t>
  </si>
  <si>
    <t>Lily's Toaster Grills at Kroger and Publix</t>
  </si>
  <si>
    <t>#ChickOrTreatWithTysonAtWalmart</t>
  </si>
  <si>
    <t>#FallForChar Crust</t>
  </si>
  <si>
    <t>#TargetNBAFashion</t>
  </si>
  <si>
    <t>#GerberBabyRewardsAtWalmart</t>
  </si>
  <si>
    <t>#KentBikesAtWalmart-Fall</t>
  </si>
  <si>
    <t>#BeInspiredWithCraZArt</t>
  </si>
  <si>
    <t>#AdventureForceAtWalmart</t>
  </si>
  <si>
    <t>#ArtisanKitchensAtWalmart</t>
  </si>
  <si>
    <t>NBA Parking Lot Events</t>
  </si>
  <si>
    <t>InComm #GroceryGifting2022</t>
  </si>
  <si>
    <t>InComm #GreatGiftWithWalgreens</t>
  </si>
  <si>
    <t>#PenningtonAtWalmart-Fall</t>
  </si>
  <si>
    <t>#InnovAsianOccasionWithWalmart</t>
  </si>
  <si>
    <t>#InnovAsianOccasionWithTarget</t>
  </si>
  <si>
    <t>#HolidayBakingWithBobs</t>
  </si>
  <si>
    <t>#BobsAlmondFlourAtSprouts</t>
  </si>
  <si>
    <t>#BobsRedMillBakingFlours at WFM</t>
  </si>
  <si>
    <t>#DandyAtWalmart</t>
  </si>
  <si>
    <t>#HolidayMealsWithGerber</t>
  </si>
  <si>
    <t>#BarberFoodsAtWalmart</t>
  </si>
  <si>
    <t>InComm #SaveMoneyGiftBetter At Walmart</t>
  </si>
  <si>
    <t>#Gallo-GalileoAtWalmart</t>
  </si>
  <si>
    <t xml:space="preserve">#OrgainAtWalmart </t>
  </si>
  <si>
    <t>#HersPartner</t>
  </si>
  <si>
    <t>#InnovasianOccasionWithWalmart Q1</t>
  </si>
  <si>
    <t>#BetterBreakfastWithBobs At Whole Foods</t>
  </si>
  <si>
    <t>#BobsOatmealAtTarget</t>
  </si>
  <si>
    <t>#BobsIsOatSoSimple</t>
  </si>
  <si>
    <t>#GardenOfLifeAtWalmart</t>
  </si>
  <si>
    <t>#SoraSchools</t>
  </si>
  <si>
    <t>#AdventureForceNascarAtWalmart</t>
  </si>
  <si>
    <t>#GoodCultureAtWalmart</t>
  </si>
  <si>
    <t>#PussInBootsAtWalmart</t>
  </si>
  <si>
    <t>#NBAPetAtTarget</t>
  </si>
  <si>
    <t>#StrykeClubAtWalmart</t>
  </si>
  <si>
    <t>#DandymenAtWalmart</t>
  </si>
  <si>
    <t>#MoulinRougeAtWAC</t>
  </si>
  <si>
    <t>1/4/23 &amp; 2/10/23</t>
  </si>
  <si>
    <t>#ArtisanKitchensOmeletsAtWalmart</t>
  </si>
  <si>
    <t>#FeitAtHomeDepot and Ace Hardware</t>
  </si>
  <si>
    <t>#GerberSpringAtWalmart</t>
  </si>
  <si>
    <t>#GRWhers #GRWhims</t>
  </si>
  <si>
    <t>#HersEpicBeautyAtCVS #HimsEpicBeautyAtCVS</t>
  </si>
  <si>
    <t>#WalmartLawnAndGarden</t>
  </si>
  <si>
    <t>#SundayAtLowes</t>
  </si>
  <si>
    <t>#RadiusAtWalmart</t>
  </si>
  <si>
    <t>#SpringIntoHyperTough</t>
  </si>
  <si>
    <t>#SpringTimeWithHyperTough</t>
  </si>
  <si>
    <t>#SpringIntoSummerWithFlexon</t>
  </si>
  <si>
    <t>#InnovasianOccasionWithHEB</t>
  </si>
  <si>
    <t>#InnovAsianOccasion</t>
  </si>
  <si>
    <t>#GetReadyToRoll</t>
  </si>
  <si>
    <t>#AnnieAtWAC</t>
  </si>
  <si>
    <t>#CelebratingWithGiftCardsFromWalgreens</t>
  </si>
  <si>
    <t>#CelebratingWithGiftCardsFromWalmart</t>
  </si>
  <si>
    <t>#TheParlorIsOpen</t>
  </si>
  <si>
    <t>#BobsBarsCanada</t>
  </si>
  <si>
    <t>#SplashIntoSummerWithExpertGardener</t>
  </si>
  <si>
    <t>#GlobeElectricAtWalmart</t>
  </si>
  <si>
    <t>#GetLitAtWalmart</t>
  </si>
  <si>
    <t>#FeitAtWalmart</t>
  </si>
  <si>
    <t>#LightingAtWalmart</t>
  </si>
  <si>
    <t>#ReadySetFoodAtWalmart</t>
  </si>
  <si>
    <t>#GerberSummerAtWalmart</t>
  </si>
  <si>
    <t>#TMNTxWalmart</t>
  </si>
  <si>
    <t>#SaratogaAtWalmart</t>
  </si>
  <si>
    <t>#AmazonTopDealsWithHims</t>
  </si>
  <si>
    <t>8/12.23</t>
  </si>
  <si>
    <t>#hersProbioticsAtWalmart</t>
  </si>
  <si>
    <t>#BobsInstantOatmeal</t>
  </si>
  <si>
    <t>#BackToSchoolWithGiftCardsFromWalgreens</t>
  </si>
  <si>
    <t>#SonicTotsAtWalmart</t>
  </si>
  <si>
    <t>#OrgainKidsAtWalmart</t>
  </si>
  <si>
    <t>#BackToSchoolWithInnovAsian</t>
  </si>
  <si>
    <t>#Probiotic10AtWalmart</t>
  </si>
  <si>
    <t>#GerberBabyDaysAtWalmart</t>
  </si>
  <si>
    <t>#TMNTatMacy's</t>
  </si>
  <si>
    <t>#PAWPatrolMovie</t>
  </si>
  <si>
    <t>#StockUpForSummerWithWalgreens</t>
  </si>
  <si>
    <t>#PluggedInWithHuskyVividFlex</t>
  </si>
  <si>
    <t>#BackToRoutineWithGoodCulture</t>
  </si>
  <si>
    <t>#TMNT</t>
  </si>
  <si>
    <t>#PAWPatrol</t>
  </si>
  <si>
    <t>#BeUniqueWithBandAidBrand</t>
  </si>
  <si>
    <t>#PawPatrol at Macy's</t>
  </si>
  <si>
    <t>#himsandhersMegaBeautyAtWalmart</t>
  </si>
  <si>
    <t>#BobsGranolaAtSprouts</t>
  </si>
  <si>
    <t>#BobsOatsAtWalmart</t>
  </si>
  <si>
    <t>#SKILatSams</t>
  </si>
  <si>
    <t>#NewAisleSamePalmers</t>
  </si>
  <si>
    <t>#SleepWellWithNaturesBounty at Walmart</t>
  </si>
  <si>
    <t>#TinaTurnerAtWAC</t>
  </si>
  <si>
    <t>#PawPatrolxWalmart - The Mighty Movie</t>
  </si>
  <si>
    <t>#StayHydratedWithNuun</t>
  </si>
  <si>
    <t>#BobsHolidayBakingAtWalmart</t>
  </si>
  <si>
    <t>#HolidayBakingIsBetterWithBobs</t>
  </si>
  <si>
    <t>#GreatGiftsForAll</t>
  </si>
  <si>
    <t>#VanillaGiftCardHolidayAtWalmart</t>
  </si>
  <si>
    <t>#SaveMoneyGiftBetter2023</t>
  </si>
  <si>
    <t>#HairLossAwarenessWithHers #HairLossAwarenessWithHims</t>
  </si>
  <si>
    <t>#HoliDIYWithHyperTough</t>
  </si>
  <si>
    <t>#InnovAsianOccasion Holiday at Walmart</t>
  </si>
  <si>
    <t>#InnovAsianOccasion Holiday National</t>
  </si>
  <si>
    <t>Bitly 7582 for WM &amp; Nat.</t>
  </si>
  <si>
    <t>#AirWickOilsAtTarget</t>
  </si>
  <si>
    <t>#PawAtMacys Holiday and Toys R Us</t>
  </si>
  <si>
    <t>#BabySharkAtMacys</t>
  </si>
  <si>
    <t>#ReptarAtFYE</t>
  </si>
  <si>
    <t>#GerberHolidayMealsAtWalmart</t>
  </si>
  <si>
    <t>#GroceryGifting2023</t>
  </si>
  <si>
    <t>#BobsHolidayBakingAtTarget</t>
  </si>
  <si>
    <t xml:space="preserve">#HolidayBakingWithBobs - National </t>
  </si>
  <si>
    <t>#HolidayBakingWithBobsinCanada</t>
  </si>
  <si>
    <t>#HomemadeWithBobs Whole Foods</t>
  </si>
  <si>
    <t>#GardenofLifeAtSamsClub</t>
  </si>
  <si>
    <t>#GoodIngredientsWithBobs</t>
  </si>
  <si>
    <t>#BRMOrganicProteinOats</t>
  </si>
  <si>
    <t>#NewYearNewYouWithGoodCulture</t>
  </si>
  <si>
    <t>#SudsLabAtWalmart</t>
  </si>
  <si>
    <t>#ServeUpFinancialFlexibility</t>
  </si>
  <si>
    <t>#NewYearWithInnovAsianOccasion</t>
  </si>
  <si>
    <t>#SecureFitWithSaba</t>
  </si>
  <si>
    <t>#CarnationBreakfastEssentials</t>
  </si>
  <si>
    <t>#SpringBakingWithBobs '24</t>
  </si>
  <si>
    <t>#DanDeeToysAtWalmart</t>
  </si>
  <si>
    <t>#FlexonFlextremeAtWalmart</t>
  </si>
  <si>
    <t>#InnovAsianAtSamsClub</t>
  </si>
  <si>
    <t>#GrowingWithNaturesBounty</t>
  </si>
  <si>
    <t>#NaturesBountyMetabolismBoosterAtWalmart</t>
  </si>
  <si>
    <t>#DesignedForTheGreatIndoors</t>
  </si>
  <si>
    <t>#GreatValueAtWalmart</t>
  </si>
  <si>
    <t>#SpringPatioRefreshAtWalmart</t>
  </si>
  <si>
    <t>#JimmyDeanShineYourWay</t>
  </si>
  <si>
    <t>#UnderCoverColorWithHims</t>
  </si>
  <si>
    <t>#MeridianLightingAtWalmart</t>
  </si>
  <si>
    <t>#SGXNYCAtWalmart #SGXMenAtWalmart</t>
  </si>
  <si>
    <t>#BetterSourAtTarget</t>
  </si>
  <si>
    <t>#FloatingLeafAtCostco</t>
  </si>
  <si>
    <t>#HairBondingAtWalmart</t>
  </si>
  <si>
    <t>#FiskarsAtTarget</t>
  </si>
  <si>
    <t>#DineWithDelCorazon</t>
  </si>
  <si>
    <t>#HarkenSweetsAtWalmart</t>
  </si>
  <si>
    <t>#HomedicsAtTarget</t>
  </si>
  <si>
    <t>#GuruNandaAtWalmart</t>
  </si>
  <si>
    <t>#BaiAtSamsClub</t>
  </si>
  <si>
    <t>#MicrobanOutdoorOnAmazon</t>
  </si>
  <si>
    <t>#ShopWithSpendwell</t>
  </si>
  <si>
    <t>#OziumAtWalmart</t>
  </si>
  <si>
    <t>#GerberYogurtAtWalmart</t>
  </si>
  <si>
    <t>#FiskarsBackToSchool at Walmart</t>
  </si>
  <si>
    <t>#FiskarsBackToSchool at Target</t>
  </si>
  <si>
    <t>#FiskarsBackToSchool at Amazon</t>
  </si>
  <si>
    <t>#StartAtTheCore</t>
  </si>
  <si>
    <t>#CarnationBreakfastSmoothiesAtWalmart</t>
  </si>
  <si>
    <t>#LefthandersDayWithFiskars</t>
  </si>
  <si>
    <t>#FiskarsWeederOnAmazon</t>
  </si>
  <si>
    <t>#GreeniesAtPetco</t>
  </si>
  <si>
    <t>#InCommBackToSchoolAtWalgreens</t>
  </si>
  <si>
    <t>#hersHairHealthAtTarget</t>
  </si>
  <si>
    <t>#BackToSchoolAtWalgreens</t>
  </si>
  <si>
    <t>#BackToSchoolWithRiceland</t>
  </si>
  <si>
    <t>#ShopWithScarlett</t>
  </si>
  <si>
    <t>#InnovAsianOccasion Q3 National</t>
  </si>
  <si>
    <t>#BoostGlucoseControl</t>
  </si>
  <si>
    <t>#SGXNYCAtWalmart</t>
  </si>
  <si>
    <t>#SGXMenAtWalmart</t>
  </si>
  <si>
    <t>#SGXNYCatTarget</t>
  </si>
  <si>
    <t>#VeSyncAtTarget</t>
  </si>
  <si>
    <t>#NestleNIDOAtWalmart</t>
  </si>
  <si>
    <t>#VeSyncAtWalmart</t>
  </si>
  <si>
    <t>#HomemadePancakeBliss BRM</t>
  </si>
  <si>
    <t>#HyperToughLaunchAtWalmart</t>
  </si>
  <si>
    <t>#TheWildRobotAtWalmart</t>
  </si>
  <si>
    <t>#PalmersSkinSuccessAtWalmart</t>
  </si>
  <si>
    <t>#PalmersShimmerRadiance</t>
  </si>
  <si>
    <t>#GreatGiftsForAll INCM Walgreens Holiday</t>
  </si>
  <si>
    <t>#HolidayGiftCardsAtWalmart</t>
  </si>
  <si>
    <t>#PikFixAtWalmart</t>
  </si>
  <si>
    <t>#AFMaistoAtWalmart - September</t>
  </si>
  <si>
    <t>#AFMaistoAtWalmart - October</t>
  </si>
  <si>
    <t>#GiftingWithAdventureForce - November</t>
  </si>
  <si>
    <t>#AFMaistoAtWalmart - December</t>
  </si>
  <si>
    <t>#SaveMoneyGiftBetter2024 -D82</t>
  </si>
  <si>
    <t>#SaveMoneyGiftBetter2024 - D5</t>
  </si>
  <si>
    <t>#InCommGroceryHoliday24</t>
  </si>
  <si>
    <t>#InnovAsianHoliday2024 - National and Walmart Q4</t>
  </si>
  <si>
    <t>#PoshTechAtWalmart - #PoshTechAtTarget</t>
  </si>
  <si>
    <t>#PremiumChocolatesAtWalmart</t>
  </si>
  <si>
    <t>#SKILSnowShovelAtSams</t>
  </si>
  <si>
    <t>#BRMWholeFoodsHolidayFlour</t>
  </si>
  <si>
    <t>#BRMNationalHolidayBaking</t>
  </si>
  <si>
    <t>#BRMNationalBakingMix</t>
  </si>
  <si>
    <t>#OzarkTrailTumblers</t>
  </si>
  <si>
    <t>Hyper Tough Winter at WM</t>
  </si>
  <si>
    <t>#RicelandRice - January Campaign</t>
  </si>
  <si>
    <t>#ShopWithScarlet - INCM New Years</t>
  </si>
  <si>
    <t>#NewYearWithSpendwell - INCM</t>
  </si>
  <si>
    <t>#DreyersAtAlbertsons</t>
  </si>
  <si>
    <t>#DreyersAtKroger</t>
  </si>
  <si>
    <t>#HyperStackAtWalmart</t>
  </si>
  <si>
    <t>#NeoCell Piping Rock Collagen at Sam's Club</t>
  </si>
  <si>
    <t>#AvecLightingAtWalmart #BHGLightingAtWalmart</t>
  </si>
  <si>
    <t>#SKILPowerScrubberAtSamsClub</t>
  </si>
  <si>
    <t>#CultivatedForEveryone Springtime with Riceland</t>
  </si>
  <si>
    <t>#ServeUpFinancialFlexibility INCM Servet</t>
  </si>
  <si>
    <t>#OziumPartner Q1</t>
  </si>
  <si>
    <t>#RainXProAtWalmart</t>
  </si>
  <si>
    <t>SGX at Target, Walmart, Kroger</t>
  </si>
  <si>
    <t>#NBAHoopDog #NBALAB</t>
  </si>
  <si>
    <t>#EveryMealWithRiceland</t>
  </si>
  <si>
    <t>#SKILSawsAtWalmart</t>
  </si>
  <si>
    <t>#GetemsFromGerberAtWalmart</t>
  </si>
  <si>
    <t>#himsAtWalmart #hersAtWalmart</t>
  </si>
  <si>
    <t>#ShopWithspendwell</t>
  </si>
  <si>
    <t>#BurtsBeesSPFLipBalmAtTarget</t>
  </si>
  <si>
    <t>#GladTakeawaysxCrayolaAtTarget</t>
  </si>
  <si>
    <t>#SonomaGourmetAtWalmart</t>
  </si>
  <si>
    <t>#PalmersBabyAtWalmart</t>
  </si>
  <si>
    <t>#HotCarSummerWithOzium</t>
  </si>
  <si>
    <t>#LevoitAtWalmart #CosoriAtWalmart</t>
  </si>
  <si>
    <t>#GameDayByGerberAtWalmart</t>
  </si>
  <si>
    <t>Total Cost with Markup</t>
  </si>
  <si>
    <t>Macro Influencer</t>
  </si>
  <si>
    <t>Macro Influencer Rate</t>
  </si>
  <si>
    <t>Notes</t>
  </si>
  <si>
    <t xml:space="preserve">Total # of Influencers on the campaign </t>
  </si>
  <si>
    <t>Home Gatherings: typically includes an influencer hosting an event with other influencers or friends in the specific niche; gathering would be centered around featured products/brand and would include several posts during and post gathering/event</t>
  </si>
  <si>
    <t>Typically $2000 - $4000 depending on how many deliverables/posts are included</t>
  </si>
  <si>
    <t>Video Creators: typically posts a TikTok or IG Reel and 2 stories</t>
  </si>
  <si>
    <t>Social + Stories: IG Carousel post and 3 stories</t>
  </si>
  <si>
    <t xml:space="preserve">Macro Influencer: typically posts an IG Reel or TikTok, has over 500K followers </t>
  </si>
  <si>
    <t>$10,000 usually gives enough budget for higher end but can adjust based on how we classify the macro influencer in the proposal (lower rate for 250K followers, higher for 1MM, etc)</t>
  </si>
  <si>
    <t xml:space="preserve">Rates typically range between $800 - $2000 </t>
  </si>
  <si>
    <t xml:space="preserve">Rates typically range between $500 - $1000 </t>
  </si>
  <si>
    <t>Total Influencer Compensation for campaign</t>
  </si>
  <si>
    <t>Click2Cart links start at $4,500 for one link and up to 6 items for a 6 week campaign. Any additional links, more than 6 items, or additional flight time will require x the standard rate for each instance (i.e., if you have 8 items for 1 link for a 6 week campaign, you would include $9,000 here)</t>
  </si>
  <si>
    <t>Paid media spend, can fluctuate based on overall goals and total spend</t>
  </si>
  <si>
    <t>Total Paid media spend plus Click2Cart cost</t>
  </si>
  <si>
    <t>Product cost if needs to be included in overall budget; this is typically for higher end items (over $250) if it absolutely needs to be included to compensate influencers accordingly to purchase</t>
  </si>
  <si>
    <t>Shipping cost if Soapbox will be shipping products to influencers; typically isn't the case and influencers will usually go in-store to purchase product. I would only recommend this if product is not available yet and we're having to ship samples, or if we're shipping PR boxes</t>
  </si>
  <si>
    <t>Tota Product &amp; Shipping cost</t>
  </si>
  <si>
    <t>Doesn't change; included to cover agency fees</t>
  </si>
  <si>
    <t xml:space="preserve">Hiring leeway included to negotiate with influencers on their compensation, usage rights, etc. </t>
  </si>
  <si>
    <t>Doesn't change unless approved by JT</t>
  </si>
  <si>
    <t xml:space="preserve">Total time management cost </t>
  </si>
  <si>
    <t>Compensation Total</t>
  </si>
  <si>
    <t>Time management and hard costs (Compensation Total, Paid Media + C2C, Analytics &amp; Software, Community Costs, Hiring Leeway, Time Management Cost Total)</t>
  </si>
  <si>
    <t>Cost with 1.8x markup</t>
  </si>
  <si>
    <t>Withholding %</t>
  </si>
  <si>
    <t>Total = (Total Cost with Markup x Witholding) + Total Cost with Markup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</si>
</sst>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0_);[Red]\(&quot;$&quot;#,##0\)"/>
    <numFmt numFmtId="8" formatCode="&quot;$&quot;#,##0.00_);[Red]\(&quot;$&quot;#,##0.00\)"/>
    <numFmt numFmtId="44" formatCode="_(&quot;$&quot;* #,##0.00_);_(&quot;$&quot;* \(#,##0.00\);_(&quot;$&quot;* &quot;-&quot;??_);_(@_)"/>
    <numFmt numFmtId="43" formatCode="_(* #,##0.00_);_(* \(#,##0.00\);_(* &quot;-&quot;??_);_(@_)"/>
    <numFmt numFmtId="164" formatCode="&quot;$&quot;#,##0"/>
    <numFmt numFmtId="165" formatCode="&quot;$&quot;#,##0.0"/>
    <numFmt numFmtId="166" formatCode="&quot;$&quot;#,##0.00"/>
    <numFmt numFmtId="167" formatCode="_(* #,##0_);_(* \(#,##0\);_(* &quot;-&quot;??_);_(@_)"/>
    <numFmt numFmtId="168" formatCode="_(&quot;$&quot;* #,##0_);_(&quot;$&quot;* \(#,##0\);_(&quot;$&quot;* &quot;-&quot;??_);_(@_)"/>
    <numFmt numFmtId="169" formatCode="0.0"/>
    <numFmt numFmtId="170" formatCode="_(* #,##0.0_);_(* \(#,##0.0\);_(* &quot;-&quot;??_);_(@_)"/>
  </numFmts>
  <fonts count="30">
    <font>
      <sz val="10"/>
      <color rgb="FF000000"/>
      <name val="Arial"/>
      <scheme val="minor"/>
    </font>
    <font>
      <sz val="10"/>
      <color rgb="FF000000"/>
      <name val="Calibri"/>
      <family val="2"/>
    </font>
    <font>
      <b/>
      <sz val="16"/>
      <color rgb="FFFFFFFF"/>
      <name val="Calibri"/>
      <family val="2"/>
    </font>
    <font>
      <sz val="10"/>
      <name val="Arial"/>
      <family val="2"/>
    </font>
    <font>
      <sz val="10"/>
      <color theme="1"/>
      <name val="Calibri"/>
      <family val="2"/>
    </font>
    <font>
      <sz val="12"/>
      <color rgb="FF000000"/>
      <name val="Calibri"/>
      <family val="2"/>
    </font>
    <font>
      <sz val="12"/>
      <color theme="1"/>
      <name val="Calibri"/>
      <family val="2"/>
    </font>
    <font>
      <b/>
      <sz val="12"/>
      <color rgb="FF000000"/>
      <name val="Calibri"/>
      <family val="2"/>
    </font>
    <font>
      <b/>
      <sz val="12"/>
      <color theme="1"/>
      <name val="Calibri"/>
      <family val="2"/>
    </font>
    <font>
      <b/>
      <sz val="16"/>
      <color rgb="FF000000"/>
      <name val="Calibri"/>
      <family val="2"/>
    </font>
    <font>
      <b/>
      <sz val="10"/>
      <color rgb="FF000000"/>
      <name val="Calibri"/>
      <family val="2"/>
    </font>
    <font>
      <b/>
      <sz val="16"/>
      <color theme="1"/>
      <name val="Calibri"/>
      <family val="2"/>
    </font>
    <font>
      <b/>
      <u/>
      <sz val="10"/>
      <color rgb="FF000000"/>
      <name val="Calibri"/>
      <family val="2"/>
    </font>
    <font>
      <sz val="26"/>
      <color rgb="FF000000"/>
      <name val="Calibri"/>
      <family val="2"/>
    </font>
    <font>
      <sz val="14"/>
      <color rgb="FF000000"/>
      <name val="Calibri"/>
      <family val="2"/>
    </font>
    <font>
      <b/>
      <sz val="14"/>
      <color rgb="FF000000"/>
      <name val="Calibri"/>
      <family val="2"/>
    </font>
    <font>
      <b/>
      <sz val="11"/>
      <color rgb="FF000000"/>
      <name val="Calibri"/>
      <family val="2"/>
    </font>
    <font>
      <u/>
      <sz val="12"/>
      <color rgb="FF000000"/>
      <name val="Calibri"/>
      <family val="2"/>
    </font>
    <font>
      <sz val="10"/>
      <color rgb="FF000000"/>
      <name val="Arial"/>
      <family val="2"/>
    </font>
    <font>
      <sz val="12"/>
      <color rgb="FF26293C"/>
      <name val="Helvetica Neue"/>
      <family val="2"/>
    </font>
    <font>
      <sz val="10"/>
      <color rgb="FF000000"/>
      <name val="Arial"/>
      <family val="2"/>
      <scheme val="minor"/>
    </font>
    <font>
      <sz val="10"/>
      <color rgb="FF000000"/>
      <name val="Arial"/>
      <family val="2"/>
      <scheme val="minor"/>
    </font>
    <font>
      <sz val="10"/>
      <color rgb="FF000000"/>
      <name val="Arial"/>
      <family val="2"/>
      <scheme val="minor"/>
    </font>
    <font>
      <sz val="18"/>
      <color rgb="FF000000"/>
      <name val="Arial"/>
      <family val="2"/>
      <scheme val="minor"/>
    </font>
    <font>
      <b/>
      <sz val="20"/>
      <color rgb="FFFFFFFF"/>
      <name val="Calibri"/>
      <family val="2"/>
    </font>
    <font>
      <sz val="16"/>
      <color rgb="FF000000"/>
      <name val="Calibri"/>
      <family val="2"/>
    </font>
    <font>
      <sz val="10"/>
      <color rgb="FF000000"/>
      <name val="Arial"/>
      <family val="2"/>
      <scheme val="minor"/>
    </font>
    <font>
      <sz val="11"/>
      <color rgb="FF000000"/>
      <name val="Calibri"/>
      <family val="2"/>
    </font>
    <font>
      <i/>
      <sz val="10"/>
      <color rgb="FF000000"/>
      <name val="Calibri"/>
      <family val="2"/>
    </font>
    <font>
      <b/>
      <sz val="11"/>
      <color rgb="FFFFFFFF"/>
      <name val="Calibri"/>
      <family val="2"/>
    </font>
  </fonts>
  <fills count="16">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37B3AA"/>
        <bgColor rgb="FF37B3AA"/>
      </patternFill>
    </fill>
    <fill>
      <patternFill patternType="solid">
        <fgColor rgb="FFE7E6E6"/>
        <bgColor rgb="FFE7E6E6"/>
      </patternFill>
    </fill>
    <fill>
      <patternFill patternType="solid">
        <fgColor rgb="FF5BDCC1"/>
        <bgColor rgb="FF5BDCC1"/>
      </patternFill>
    </fill>
    <fill>
      <patternFill patternType="solid">
        <fgColor rgb="FFF7CAAC"/>
        <bgColor rgb="FFF7CAAC"/>
      </patternFill>
    </fill>
    <fill>
      <patternFill patternType="solid">
        <fgColor rgb="FFD6DCE4"/>
        <bgColor rgb="FFD6DCE4"/>
      </patternFill>
    </fill>
    <fill>
      <patternFill patternType="solid">
        <fgColor rgb="FFD9E2F3"/>
        <bgColor rgb="FFD9E2F3"/>
      </patternFill>
    </fill>
    <fill>
      <patternFill patternType="solid">
        <fgColor theme="7" tint="0.79998168889431442"/>
        <bgColor indexed="64"/>
      </patternFill>
    </fill>
    <fill>
      <patternFill patternType="solid">
        <fgColor theme="7" tint="0.79998168889431442"/>
        <bgColor theme="0"/>
      </patternFill>
    </fill>
    <fill>
      <patternFill patternType="solid">
        <fgColor rgb="FF022A47"/>
        <bgColor rgb="FF37B3AA"/>
      </patternFill>
    </fill>
    <fill>
      <patternFill patternType="solid">
        <fgColor theme="0" tint="-0.14999847407452621"/>
        <bgColor rgb="FFE7E6E6"/>
      </patternFill>
    </fill>
    <fill>
      <patternFill patternType="solid">
        <fgColor theme="0" tint="-0.14999847407452621"/>
        <bgColor indexed="64"/>
      </patternFill>
    </fill>
    <fill>
      <patternFill patternType="solid">
        <fgColor rgb="FFFFFF00"/>
        <bgColor theme="0"/>
      </patternFill>
    </fill>
  </fills>
  <borders count="54">
    <border>
      <left/>
      <right/>
      <top/>
      <bottom/>
      <diagonal/>
    </border>
    <border>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medium">
        <color rgb="FF000000"/>
      </left>
      <right/>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double">
        <color rgb="FF000000"/>
      </bottom>
      <diagonal/>
    </border>
    <border>
      <left style="thin">
        <color rgb="FF000000"/>
      </left>
      <right style="medium">
        <color rgb="FF000000"/>
      </right>
      <top style="thin">
        <color rgb="FF000000"/>
      </top>
      <bottom style="double">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medium">
        <color rgb="FF000000"/>
      </left>
      <right/>
      <top/>
      <bottom/>
      <diagonal/>
    </border>
    <border>
      <left/>
      <right/>
      <top/>
      <bottom/>
      <diagonal/>
    </border>
    <border>
      <left/>
      <right style="medium">
        <color rgb="FF000000"/>
      </right>
      <top/>
      <bottom/>
      <diagonal/>
    </border>
    <border>
      <left/>
      <right/>
      <top style="thin">
        <color rgb="FF000000"/>
      </top>
      <bottom/>
      <diagonal/>
    </border>
    <border>
      <left style="medium">
        <color rgb="FF000000"/>
      </left>
      <right/>
      <top/>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diagonal/>
    </border>
    <border>
      <left style="thin">
        <color theme="1"/>
      </left>
      <right style="thin">
        <color theme="1"/>
      </right>
      <top style="thin">
        <color theme="1"/>
      </top>
      <bottom style="thin">
        <color theme="1"/>
      </bottom>
      <diagonal/>
    </border>
    <border>
      <left style="thin">
        <color theme="0"/>
      </left>
      <right style="thin">
        <color theme="0"/>
      </right>
      <top/>
      <bottom/>
      <diagonal/>
    </border>
    <border>
      <left style="thin">
        <color theme="1"/>
      </left>
      <right style="thin">
        <color theme="0"/>
      </right>
      <top style="thin">
        <color theme="1"/>
      </top>
      <bottom/>
      <diagonal/>
    </border>
    <border>
      <left style="thin">
        <color theme="0"/>
      </left>
      <right style="thin">
        <color theme="1"/>
      </right>
      <top style="thin">
        <color theme="1"/>
      </top>
      <bottom/>
      <diagonal/>
    </border>
    <border>
      <left/>
      <right style="thin">
        <color theme="1"/>
      </right>
      <top style="thin">
        <color theme="1"/>
      </top>
      <bottom style="thin">
        <color theme="1"/>
      </bottom>
      <diagonal/>
    </border>
    <border>
      <left/>
      <right style="thin">
        <color rgb="FF000000"/>
      </right>
      <top style="thin">
        <color rgb="FF000000"/>
      </top>
      <bottom/>
      <diagonal/>
    </border>
    <border>
      <left style="thin">
        <color rgb="FF000000"/>
      </left>
      <right/>
      <top style="thin">
        <color rgb="FF000000"/>
      </top>
      <bottom/>
      <diagonal/>
    </border>
    <border>
      <left style="thin">
        <color theme="1"/>
      </left>
      <right/>
      <top style="thin">
        <color theme="1"/>
      </top>
      <bottom style="thin">
        <color theme="1"/>
      </bottom>
      <diagonal/>
    </border>
    <border>
      <left/>
      <right style="thin">
        <color rgb="FF000000"/>
      </right>
      <top/>
      <bottom/>
      <diagonal/>
    </border>
    <border>
      <left style="thin">
        <color theme="1"/>
      </left>
      <right style="thin">
        <color theme="1"/>
      </right>
      <top style="thin">
        <color theme="1"/>
      </top>
      <bottom/>
      <diagonal/>
    </border>
    <border>
      <left style="thin">
        <color theme="1"/>
      </left>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4">
    <xf numFmtId="0" fontId="0" fillId="0" borderId="0"/>
    <xf numFmtId="9" fontId="21" fillId="0" borderId="0" applyFont="0" applyFill="0" applyBorder="0" applyAlignment="0" applyProtection="0"/>
    <xf numFmtId="44" fontId="22" fillId="0" borderId="0" applyFont="0" applyFill="0" applyBorder="0" applyAlignment="0" applyProtection="0"/>
    <xf numFmtId="43" fontId="26" fillId="0" borderId="0" applyFont="0" applyFill="0" applyBorder="0" applyAlignment="0" applyProtection="0"/>
  </cellStyleXfs>
  <cellXfs count="276">
    <xf numFmtId="0" fontId="0" fillId="0" borderId="0" xfId="0"/>
    <xf numFmtId="0" fontId="1" fillId="2" borderId="1" xfId="0" applyFont="1" applyFill="1" applyBorder="1"/>
    <xf numFmtId="0" fontId="1" fillId="3" borderId="1" xfId="0" applyFont="1" applyFill="1" applyBorder="1"/>
    <xf numFmtId="0" fontId="1" fillId="2" borderId="1" xfId="0" applyFont="1" applyFill="1" applyBorder="1" applyAlignment="1">
      <alignment horizontal="center"/>
    </xf>
    <xf numFmtId="0" fontId="4" fillId="2" borderId="1" xfId="0" applyFont="1" applyFill="1" applyBorder="1"/>
    <xf numFmtId="0" fontId="6" fillId="0" borderId="7" xfId="0" applyFont="1" applyBorder="1"/>
    <xf numFmtId="0" fontId="7" fillId="5" borderId="6" xfId="0" applyFont="1" applyFill="1" applyBorder="1" applyAlignment="1">
      <alignment horizontal="left"/>
    </xf>
    <xf numFmtId="0" fontId="7" fillId="0" borderId="6" xfId="0" applyFont="1" applyBorder="1" applyAlignment="1">
      <alignment horizontal="left"/>
    </xf>
    <xf numFmtId="165" fontId="4" fillId="2" borderId="1" xfId="0" applyNumberFormat="1" applyFont="1" applyFill="1" applyBorder="1"/>
    <xf numFmtId="166" fontId="4" fillId="2" borderId="1" xfId="0" applyNumberFormat="1" applyFont="1" applyFill="1" applyBorder="1"/>
    <xf numFmtId="6" fontId="1" fillId="2" borderId="1" xfId="0" applyNumberFormat="1" applyFont="1" applyFill="1" applyBorder="1"/>
    <xf numFmtId="166" fontId="4" fillId="3" borderId="1" xfId="0" applyNumberFormat="1" applyFont="1" applyFill="1" applyBorder="1"/>
    <xf numFmtId="0" fontId="4" fillId="3" borderId="1" xfId="0" applyFont="1" applyFill="1" applyBorder="1"/>
    <xf numFmtId="166" fontId="1" fillId="2" borderId="1" xfId="0" applyNumberFormat="1" applyFont="1" applyFill="1" applyBorder="1" applyAlignment="1">
      <alignment horizontal="right"/>
    </xf>
    <xf numFmtId="166" fontId="10" fillId="2" borderId="1" xfId="0" applyNumberFormat="1" applyFont="1" applyFill="1" applyBorder="1" applyAlignment="1">
      <alignment horizontal="right"/>
    </xf>
    <xf numFmtId="166" fontId="6" fillId="5" borderId="7" xfId="0" applyNumberFormat="1" applyFont="1" applyFill="1" applyBorder="1"/>
    <xf numFmtId="166" fontId="6" fillId="0" borderId="7" xfId="0" applyNumberFormat="1" applyFont="1" applyBorder="1"/>
    <xf numFmtId="0" fontId="5" fillId="0" borderId="6" xfId="0" applyFont="1" applyBorder="1" applyAlignment="1">
      <alignment horizontal="right"/>
    </xf>
    <xf numFmtId="0" fontId="7" fillId="0" borderId="8" xfId="0" applyFont="1" applyBorder="1" applyAlignment="1">
      <alignment horizontal="left"/>
    </xf>
    <xf numFmtId="166" fontId="6" fillId="0" borderId="9" xfId="0" applyNumberFormat="1" applyFont="1" applyBorder="1"/>
    <xf numFmtId="0" fontId="9" fillId="6" borderId="10" xfId="0" applyFont="1" applyFill="1" applyBorder="1" applyAlignment="1">
      <alignment horizontal="left"/>
    </xf>
    <xf numFmtId="166" fontId="11" fillId="6" borderId="11" xfId="0" applyNumberFormat="1" applyFont="1" applyFill="1" applyBorder="1"/>
    <xf numFmtId="0" fontId="12" fillId="2" borderId="1" xfId="0" applyFont="1" applyFill="1" applyBorder="1" applyAlignment="1">
      <alignment horizontal="center"/>
    </xf>
    <xf numFmtId="0" fontId="1" fillId="0" borderId="0" xfId="0" applyFont="1"/>
    <xf numFmtId="0" fontId="14" fillId="0" borderId="15" xfId="0" applyFont="1" applyBorder="1"/>
    <xf numFmtId="0" fontId="15" fillId="7" borderId="16" xfId="0" applyFont="1" applyFill="1" applyBorder="1"/>
    <xf numFmtId="0" fontId="1" fillId="7" borderId="17" xfId="0" applyFont="1" applyFill="1" applyBorder="1"/>
    <xf numFmtId="0" fontId="1" fillId="7" borderId="18" xfId="0" applyFont="1" applyFill="1" applyBorder="1"/>
    <xf numFmtId="167" fontId="14" fillId="0" borderId="15" xfId="0" applyNumberFormat="1" applyFont="1" applyBorder="1"/>
    <xf numFmtId="0" fontId="5" fillId="7" borderId="19" xfId="0" applyFont="1" applyFill="1" applyBorder="1"/>
    <xf numFmtId="0" fontId="1" fillId="7" borderId="1" xfId="0" applyFont="1" applyFill="1" applyBorder="1"/>
    <xf numFmtId="0" fontId="1" fillId="7" borderId="20" xfId="0" applyFont="1" applyFill="1" applyBorder="1"/>
    <xf numFmtId="0" fontId="14" fillId="0" borderId="0" xfId="0" applyFont="1"/>
    <xf numFmtId="0" fontId="14" fillId="0" borderId="21" xfId="0" applyFont="1" applyBorder="1"/>
    <xf numFmtId="0" fontId="14" fillId="0" borderId="22" xfId="0" applyFont="1" applyBorder="1"/>
    <xf numFmtId="44" fontId="14" fillId="0" borderId="22" xfId="0" applyNumberFormat="1" applyFont="1" applyBorder="1"/>
    <xf numFmtId="167" fontId="14" fillId="0" borderId="21" xfId="0" applyNumberFormat="1" applyFont="1" applyBorder="1"/>
    <xf numFmtId="167" fontId="14" fillId="0" borderId="22" xfId="0" applyNumberFormat="1" applyFont="1" applyBorder="1"/>
    <xf numFmtId="0" fontId="7" fillId="7" borderId="19" xfId="0" applyFont="1" applyFill="1" applyBorder="1"/>
    <xf numFmtId="0" fontId="1" fillId="7" borderId="19" xfId="0" applyFont="1" applyFill="1" applyBorder="1"/>
    <xf numFmtId="0" fontId="15" fillId="7" borderId="19" xfId="0" applyFont="1" applyFill="1" applyBorder="1"/>
    <xf numFmtId="0" fontId="15" fillId="8" borderId="15" xfId="0" applyFont="1" applyFill="1" applyBorder="1" applyAlignment="1">
      <alignment horizontal="center" vertical="center"/>
    </xf>
    <xf numFmtId="167" fontId="14" fillId="0" borderId="0" xfId="0" applyNumberFormat="1" applyFont="1"/>
    <xf numFmtId="44" fontId="5" fillId="0" borderId="15" xfId="0" applyNumberFormat="1" applyFont="1" applyBorder="1" applyAlignment="1">
      <alignment vertical="top" wrapText="1"/>
    </xf>
    <xf numFmtId="0" fontId="10" fillId="0" borderId="0" xfId="0" applyFont="1" applyAlignment="1">
      <alignment horizontal="left" vertical="center" wrapText="1"/>
    </xf>
    <xf numFmtId="0" fontId="10" fillId="0" borderId="0" xfId="0" applyFont="1" applyAlignment="1">
      <alignment wrapText="1"/>
    </xf>
    <xf numFmtId="0" fontId="10" fillId="0" borderId="29" xfId="0" applyFont="1" applyBorder="1" applyAlignment="1">
      <alignment horizontal="left" vertical="center" wrapText="1"/>
    </xf>
    <xf numFmtId="0" fontId="1" fillId="0" borderId="29" xfId="0" applyFont="1" applyBorder="1"/>
    <xf numFmtId="0" fontId="16" fillId="7" borderId="30" xfId="0" applyFont="1" applyFill="1" applyBorder="1"/>
    <xf numFmtId="0" fontId="1" fillId="7" borderId="30" xfId="0" applyFont="1" applyFill="1" applyBorder="1"/>
    <xf numFmtId="0" fontId="1" fillId="7" borderId="31" xfId="0" applyFont="1" applyFill="1" applyBorder="1"/>
    <xf numFmtId="44" fontId="17" fillId="0" borderId="15" xfId="0" applyNumberFormat="1" applyFont="1" applyBorder="1" applyAlignment="1">
      <alignment vertical="top" wrapText="1"/>
    </xf>
    <xf numFmtId="0" fontId="5" fillId="9" borderId="15" xfId="0" applyFont="1" applyFill="1" applyBorder="1"/>
    <xf numFmtId="0" fontId="5" fillId="9" borderId="15" xfId="0" applyFont="1" applyFill="1" applyBorder="1" applyAlignment="1">
      <alignment horizontal="right"/>
    </xf>
    <xf numFmtId="44" fontId="5" fillId="9" borderId="15" xfId="0" applyNumberFormat="1" applyFont="1" applyFill="1" applyBorder="1"/>
    <xf numFmtId="0" fontId="5" fillId="0" borderId="0" xfId="0" applyFont="1"/>
    <xf numFmtId="0" fontId="5" fillId="0" borderId="15" xfId="0" applyFont="1" applyBorder="1"/>
    <xf numFmtId="14" fontId="5" fillId="0" borderId="15" xfId="0" applyNumberFormat="1" applyFont="1" applyBorder="1" applyAlignment="1">
      <alignment horizontal="right"/>
    </xf>
    <xf numFmtId="167" fontId="5" fillId="0" borderId="15" xfId="0" applyNumberFormat="1" applyFont="1" applyBorder="1"/>
    <xf numFmtId="1" fontId="5" fillId="0" borderId="15" xfId="0" applyNumberFormat="1" applyFont="1" applyBorder="1"/>
    <xf numFmtId="44" fontId="5" fillId="0" borderId="15" xfId="0" applyNumberFormat="1" applyFont="1" applyBorder="1"/>
    <xf numFmtId="1" fontId="5" fillId="0" borderId="21" xfId="0" applyNumberFormat="1" applyFont="1" applyBorder="1"/>
    <xf numFmtId="6" fontId="5" fillId="0" borderId="15" xfId="0" applyNumberFormat="1" applyFont="1" applyBorder="1"/>
    <xf numFmtId="43" fontId="5" fillId="0" borderId="15" xfId="0" applyNumberFormat="1" applyFont="1" applyBorder="1"/>
    <xf numFmtId="3" fontId="5" fillId="0" borderId="15" xfId="0" applyNumberFormat="1" applyFont="1" applyBorder="1"/>
    <xf numFmtId="0" fontId="5" fillId="0" borderId="15" xfId="0" applyFont="1" applyBorder="1" applyAlignment="1">
      <alignment horizontal="right"/>
    </xf>
    <xf numFmtId="167" fontId="5" fillId="0" borderId="0" xfId="0" applyNumberFormat="1" applyFont="1"/>
    <xf numFmtId="167" fontId="18" fillId="0" borderId="0" xfId="0" applyNumberFormat="1" applyFont="1"/>
    <xf numFmtId="44" fontId="18" fillId="0" borderId="0" xfId="0" applyNumberFormat="1" applyFont="1"/>
    <xf numFmtId="167" fontId="18" fillId="0" borderId="15" xfId="0" applyNumberFormat="1" applyFont="1" applyBorder="1"/>
    <xf numFmtId="2" fontId="5" fillId="0" borderId="0" xfId="0" applyNumberFormat="1" applyFont="1"/>
    <xf numFmtId="8" fontId="18" fillId="0" borderId="0" xfId="0" applyNumberFormat="1" applyFont="1"/>
    <xf numFmtId="3" fontId="5" fillId="0" borderId="15" xfId="0" applyNumberFormat="1" applyFont="1" applyBorder="1" applyAlignment="1">
      <alignment wrapText="1"/>
    </xf>
    <xf numFmtId="166" fontId="18" fillId="0" borderId="0" xfId="0" applyNumberFormat="1" applyFont="1"/>
    <xf numFmtId="3" fontId="19" fillId="0" borderId="0" xfId="0" applyNumberFormat="1" applyFont="1"/>
    <xf numFmtId="6" fontId="18" fillId="0" borderId="0" xfId="0" applyNumberFormat="1" applyFont="1"/>
    <xf numFmtId="0" fontId="5" fillId="0" borderId="4" xfId="0" applyFont="1" applyBorder="1"/>
    <xf numFmtId="14" fontId="5" fillId="0" borderId="4" xfId="0" applyNumberFormat="1" applyFont="1" applyBorder="1" applyAlignment="1">
      <alignment horizontal="right"/>
    </xf>
    <xf numFmtId="167" fontId="5" fillId="0" borderId="4" xfId="0" applyNumberFormat="1" applyFont="1" applyBorder="1"/>
    <xf numFmtId="167" fontId="18" fillId="0" borderId="4" xfId="0" applyNumberFormat="1" applyFont="1" applyBorder="1"/>
    <xf numFmtId="44" fontId="5" fillId="0" borderId="4" xfId="0" applyNumberFormat="1" applyFont="1" applyBorder="1"/>
    <xf numFmtId="43" fontId="5" fillId="0" borderId="4" xfId="0" applyNumberFormat="1" applyFont="1" applyBorder="1"/>
    <xf numFmtId="0" fontId="18" fillId="2" borderId="15" xfId="0" applyFont="1" applyFill="1" applyBorder="1"/>
    <xf numFmtId="14" fontId="18" fillId="2" borderId="15" xfId="0" applyNumberFormat="1" applyFont="1" applyFill="1" applyBorder="1"/>
    <xf numFmtId="167" fontId="18" fillId="2" borderId="15" xfId="0" applyNumberFormat="1" applyFont="1" applyFill="1" applyBorder="1"/>
    <xf numFmtId="167" fontId="5" fillId="2" borderId="15" xfId="0" applyNumberFormat="1" applyFont="1" applyFill="1" applyBorder="1"/>
    <xf numFmtId="6" fontId="18" fillId="2" borderId="15" xfId="0" applyNumberFormat="1" applyFont="1" applyFill="1" applyBorder="1"/>
    <xf numFmtId="2" fontId="5" fillId="2" borderId="15" xfId="0" applyNumberFormat="1" applyFont="1" applyFill="1" applyBorder="1"/>
    <xf numFmtId="43" fontId="5" fillId="2" borderId="15" xfId="0" applyNumberFormat="1" applyFont="1" applyFill="1" applyBorder="1"/>
    <xf numFmtId="44" fontId="18" fillId="2" borderId="15" xfId="0" applyNumberFormat="1" applyFont="1" applyFill="1" applyBorder="1"/>
    <xf numFmtId="0" fontId="5" fillId="2" borderId="15" xfId="0" applyFont="1" applyFill="1" applyBorder="1"/>
    <xf numFmtId="0" fontId="1" fillId="2" borderId="25" xfId="0" applyFont="1" applyFill="1" applyBorder="1"/>
    <xf numFmtId="6" fontId="1" fillId="2" borderId="25" xfId="0" applyNumberFormat="1" applyFont="1" applyFill="1" applyBorder="1"/>
    <xf numFmtId="166" fontId="1" fillId="2" borderId="1" xfId="0" applyNumberFormat="1" applyFont="1" applyFill="1" applyBorder="1"/>
    <xf numFmtId="0" fontId="1" fillId="2" borderId="1" xfId="0" applyFont="1" applyFill="1" applyBorder="1" applyAlignment="1" applyProtection="1">
      <alignment horizontal="center"/>
      <protection locked="0"/>
    </xf>
    <xf numFmtId="0" fontId="1" fillId="2" borderId="1" xfId="0" applyFont="1" applyFill="1" applyBorder="1" applyProtection="1">
      <protection locked="0"/>
    </xf>
    <xf numFmtId="0" fontId="4" fillId="2" borderId="1" xfId="0" applyFont="1" applyFill="1" applyBorder="1" applyProtection="1">
      <protection locked="0"/>
    </xf>
    <xf numFmtId="0" fontId="5" fillId="0" borderId="6" xfId="0" applyFont="1" applyBorder="1" applyAlignment="1" applyProtection="1">
      <alignment horizontal="left"/>
      <protection locked="0"/>
    </xf>
    <xf numFmtId="0" fontId="6" fillId="0" borderId="7" xfId="0" applyFont="1" applyBorder="1" applyProtection="1">
      <protection locked="0"/>
    </xf>
    <xf numFmtId="164" fontId="6" fillId="0" borderId="7" xfId="0" applyNumberFormat="1" applyFont="1" applyBorder="1" applyProtection="1">
      <protection locked="0"/>
    </xf>
    <xf numFmtId="0" fontId="7" fillId="5" borderId="6" xfId="0" applyFont="1" applyFill="1" applyBorder="1" applyAlignment="1" applyProtection="1">
      <alignment horizontal="left"/>
      <protection locked="0"/>
    </xf>
    <xf numFmtId="164" fontId="8" fillId="5" borderId="7" xfId="0" applyNumberFormat="1" applyFont="1" applyFill="1" applyBorder="1" applyProtection="1">
      <protection locked="0"/>
    </xf>
    <xf numFmtId="0" fontId="4" fillId="2" borderId="25" xfId="0" applyFont="1" applyFill="1" applyBorder="1" applyProtection="1">
      <protection locked="0"/>
    </xf>
    <xf numFmtId="0" fontId="1" fillId="2" borderId="25" xfId="0" applyFont="1" applyFill="1" applyBorder="1" applyProtection="1">
      <protection locked="0"/>
    </xf>
    <xf numFmtId="0" fontId="1" fillId="0" borderId="25" xfId="0" applyFont="1" applyBorder="1" applyProtection="1">
      <protection locked="0"/>
    </xf>
    <xf numFmtId="0" fontId="7" fillId="0" borderId="6" xfId="0" applyFont="1" applyBorder="1" applyAlignment="1" applyProtection="1">
      <alignment horizontal="left"/>
      <protection locked="0"/>
    </xf>
    <xf numFmtId="0" fontId="5" fillId="0" borderId="8" xfId="0" applyFont="1" applyBorder="1" applyAlignment="1" applyProtection="1">
      <alignment horizontal="left"/>
      <protection locked="0"/>
    </xf>
    <xf numFmtId="0" fontId="0" fillId="0" borderId="25" xfId="0" applyBorder="1"/>
    <xf numFmtId="0" fontId="0" fillId="0" borderId="32" xfId="0" applyBorder="1"/>
    <xf numFmtId="0" fontId="0" fillId="0" borderId="35" xfId="0" applyBorder="1"/>
    <xf numFmtId="0" fontId="0" fillId="0" borderId="33" xfId="0" applyBorder="1"/>
    <xf numFmtId="0" fontId="0" fillId="0" borderId="34" xfId="0" applyBorder="1"/>
    <xf numFmtId="0" fontId="0" fillId="0" borderId="36" xfId="0" applyBorder="1"/>
    <xf numFmtId="0" fontId="0" fillId="0" borderId="37" xfId="0" applyBorder="1"/>
    <xf numFmtId="0" fontId="0" fillId="0" borderId="38" xfId="0" applyBorder="1"/>
    <xf numFmtId="0" fontId="23" fillId="0" borderId="32" xfId="0" applyFont="1" applyBorder="1"/>
    <xf numFmtId="0" fontId="23" fillId="0" borderId="36" xfId="0" applyFont="1" applyBorder="1"/>
    <xf numFmtId="0" fontId="23" fillId="0" borderId="25" xfId="0" applyFont="1" applyBorder="1"/>
    <xf numFmtId="0" fontId="23" fillId="0" borderId="0" xfId="0" applyFont="1"/>
    <xf numFmtId="0" fontId="0" fillId="0" borderId="40" xfId="0" applyBorder="1"/>
    <xf numFmtId="0" fontId="23" fillId="0" borderId="35" xfId="0" applyFont="1" applyBorder="1"/>
    <xf numFmtId="0" fontId="25" fillId="0" borderId="39" xfId="0" applyFont="1" applyBorder="1"/>
    <xf numFmtId="168" fontId="25" fillId="0" borderId="39" xfId="2" applyNumberFormat="1" applyFont="1" applyBorder="1"/>
    <xf numFmtId="0" fontId="25" fillId="0" borderId="37" xfId="0" applyFont="1" applyBorder="1"/>
    <xf numFmtId="9" fontId="25" fillId="0" borderId="39" xfId="1" applyFont="1" applyBorder="1"/>
    <xf numFmtId="0" fontId="18" fillId="2" borderId="39" xfId="0" applyFont="1" applyFill="1" applyBorder="1"/>
    <xf numFmtId="14" fontId="18" fillId="2" borderId="39" xfId="0" applyNumberFormat="1" applyFont="1" applyFill="1" applyBorder="1"/>
    <xf numFmtId="0" fontId="5" fillId="0" borderId="39" xfId="0" applyFont="1" applyBorder="1"/>
    <xf numFmtId="3" fontId="18" fillId="2" borderId="43" xfId="0" applyNumberFormat="1" applyFont="1" applyFill="1" applyBorder="1"/>
    <xf numFmtId="167" fontId="18" fillId="2" borderId="39" xfId="3" applyNumberFormat="1" applyFont="1" applyFill="1" applyBorder="1"/>
    <xf numFmtId="167" fontId="0" fillId="0" borderId="39" xfId="3" applyNumberFormat="1" applyFont="1" applyBorder="1"/>
    <xf numFmtId="44" fontId="18" fillId="2" borderId="44" xfId="0" applyNumberFormat="1" applyFont="1" applyFill="1" applyBorder="1"/>
    <xf numFmtId="43" fontId="5" fillId="2" borderId="15" xfId="3" applyFont="1" applyFill="1" applyBorder="1"/>
    <xf numFmtId="44" fontId="5" fillId="0" borderId="39" xfId="0" applyNumberFormat="1" applyFont="1" applyBorder="1"/>
    <xf numFmtId="43" fontId="5" fillId="2" borderId="4" xfId="0" applyNumberFormat="1" applyFont="1" applyFill="1" applyBorder="1"/>
    <xf numFmtId="167" fontId="18" fillId="2" borderId="4" xfId="0" applyNumberFormat="1" applyFont="1" applyFill="1" applyBorder="1"/>
    <xf numFmtId="44" fontId="18" fillId="2" borderId="45" xfId="0" applyNumberFormat="1" applyFont="1" applyFill="1" applyBorder="1"/>
    <xf numFmtId="43" fontId="5" fillId="2" borderId="39" xfId="0" applyNumberFormat="1" applyFont="1" applyFill="1" applyBorder="1"/>
    <xf numFmtId="167" fontId="0" fillId="0" borderId="0" xfId="3" applyNumberFormat="1" applyFont="1"/>
    <xf numFmtId="1" fontId="18" fillId="2" borderId="39" xfId="0" applyNumberFormat="1" applyFont="1" applyFill="1" applyBorder="1"/>
    <xf numFmtId="167" fontId="18" fillId="2" borderId="22" xfId="0" applyNumberFormat="1" applyFont="1" applyFill="1" applyBorder="1"/>
    <xf numFmtId="167" fontId="18" fillId="2" borderId="43" xfId="3" applyNumberFormat="1" applyFont="1" applyFill="1" applyBorder="1"/>
    <xf numFmtId="14" fontId="5" fillId="0" borderId="39" xfId="0" applyNumberFormat="1" applyFont="1" applyBorder="1" applyAlignment="1">
      <alignment horizontal="right"/>
    </xf>
    <xf numFmtId="167" fontId="5" fillId="0" borderId="46" xfId="3" applyNumberFormat="1" applyFont="1" applyBorder="1"/>
    <xf numFmtId="44" fontId="18" fillId="2" borderId="39" xfId="0" applyNumberFormat="1" applyFont="1" applyFill="1" applyBorder="1"/>
    <xf numFmtId="43" fontId="5" fillId="0" borderId="39" xfId="3" applyFont="1" applyBorder="1"/>
    <xf numFmtId="167" fontId="5" fillId="0" borderId="25" xfId="3" applyNumberFormat="1" applyFont="1" applyBorder="1"/>
    <xf numFmtId="167" fontId="5" fillId="0" borderId="39" xfId="3" applyNumberFormat="1" applyFont="1" applyBorder="1"/>
    <xf numFmtId="44" fontId="18" fillId="2" borderId="47" xfId="0" applyNumberFormat="1" applyFont="1" applyFill="1" applyBorder="1"/>
    <xf numFmtId="2" fontId="5" fillId="0" borderId="39" xfId="0" applyNumberFormat="1" applyFont="1" applyBorder="1"/>
    <xf numFmtId="43" fontId="5" fillId="2" borderId="45" xfId="0" applyNumberFormat="1" applyFont="1" applyFill="1" applyBorder="1"/>
    <xf numFmtId="167" fontId="18" fillId="2" borderId="39" xfId="0" applyNumberFormat="1" applyFont="1" applyFill="1" applyBorder="1"/>
    <xf numFmtId="44" fontId="18" fillId="2" borderId="46" xfId="0" applyNumberFormat="1" applyFont="1" applyFill="1" applyBorder="1"/>
    <xf numFmtId="44" fontId="5" fillId="0" borderId="46" xfId="0" applyNumberFormat="1" applyFont="1" applyBorder="1"/>
    <xf numFmtId="167" fontId="18" fillId="2" borderId="44" xfId="0" applyNumberFormat="1" applyFont="1" applyFill="1" applyBorder="1"/>
    <xf numFmtId="1" fontId="5" fillId="0" borderId="39" xfId="0" applyNumberFormat="1" applyFont="1" applyBorder="1"/>
    <xf numFmtId="169" fontId="5" fillId="0" borderId="39" xfId="0" applyNumberFormat="1" applyFont="1" applyBorder="1"/>
    <xf numFmtId="0" fontId="5" fillId="0" borderId="48" xfId="0" applyFont="1" applyBorder="1"/>
    <xf numFmtId="14" fontId="5" fillId="0" borderId="48" xfId="0" applyNumberFormat="1" applyFont="1" applyBorder="1" applyAlignment="1">
      <alignment horizontal="right"/>
    </xf>
    <xf numFmtId="1" fontId="5" fillId="0" borderId="48" xfId="0" applyNumberFormat="1" applyFont="1" applyBorder="1"/>
    <xf numFmtId="169" fontId="5" fillId="0" borderId="48" xfId="0" applyNumberFormat="1" applyFont="1" applyBorder="1"/>
    <xf numFmtId="44" fontId="5" fillId="0" borderId="48" xfId="0" applyNumberFormat="1" applyFont="1" applyBorder="1"/>
    <xf numFmtId="44" fontId="5" fillId="0" borderId="49" xfId="0" applyNumberFormat="1" applyFont="1" applyBorder="1"/>
    <xf numFmtId="43" fontId="5" fillId="2" borderId="48" xfId="0" applyNumberFormat="1" applyFont="1" applyFill="1" applyBorder="1"/>
    <xf numFmtId="0" fontId="18" fillId="0" borderId="4" xfId="0" applyFont="1" applyBorder="1"/>
    <xf numFmtId="14" fontId="18" fillId="2" borderId="50" xfId="0" applyNumberFormat="1" applyFont="1" applyFill="1" applyBorder="1"/>
    <xf numFmtId="0" fontId="18" fillId="2" borderId="50" xfId="0" applyFont="1" applyFill="1" applyBorder="1"/>
    <xf numFmtId="167" fontId="18" fillId="2" borderId="50" xfId="0" applyNumberFormat="1" applyFont="1" applyFill="1" applyBorder="1"/>
    <xf numFmtId="167" fontId="5" fillId="0" borderId="50" xfId="3" applyNumberFormat="1" applyFont="1" applyBorder="1"/>
    <xf numFmtId="44" fontId="18" fillId="2" borderId="50" xfId="0" applyNumberFormat="1" applyFont="1" applyFill="1" applyBorder="1"/>
    <xf numFmtId="2" fontId="5" fillId="2" borderId="50" xfId="0" applyNumberFormat="1" applyFont="1" applyFill="1" applyBorder="1"/>
    <xf numFmtId="0" fontId="5" fillId="0" borderId="50" xfId="0" applyFont="1" applyBorder="1"/>
    <xf numFmtId="43" fontId="5" fillId="2" borderId="50" xfId="0" applyNumberFormat="1" applyFont="1" applyFill="1" applyBorder="1"/>
    <xf numFmtId="0" fontId="18" fillId="2" borderId="4" xfId="0" applyFont="1" applyFill="1" applyBorder="1"/>
    <xf numFmtId="14" fontId="18" fillId="2" borderId="51" xfId="0" applyNumberFormat="1" applyFont="1" applyFill="1" applyBorder="1"/>
    <xf numFmtId="0" fontId="18" fillId="2" borderId="51" xfId="0" applyFont="1" applyFill="1" applyBorder="1"/>
    <xf numFmtId="167" fontId="18" fillId="2" borderId="51" xfId="0" applyNumberFormat="1" applyFont="1" applyFill="1" applyBorder="1"/>
    <xf numFmtId="167" fontId="5" fillId="0" borderId="51" xfId="3" applyNumberFormat="1" applyFont="1" applyBorder="1"/>
    <xf numFmtId="44" fontId="18" fillId="2" borderId="51" xfId="0" applyNumberFormat="1" applyFont="1" applyFill="1" applyBorder="1"/>
    <xf numFmtId="2" fontId="5" fillId="2" borderId="51" xfId="0" applyNumberFormat="1" applyFont="1" applyFill="1" applyBorder="1"/>
    <xf numFmtId="43" fontId="5" fillId="2" borderId="51" xfId="0" applyNumberFormat="1" applyFont="1" applyFill="1" applyBorder="1"/>
    <xf numFmtId="44" fontId="18" fillId="2" borderId="4" xfId="0" applyNumberFormat="1" applyFont="1" applyFill="1" applyBorder="1"/>
    <xf numFmtId="0" fontId="0" fillId="0" borderId="50" xfId="0" applyBorder="1"/>
    <xf numFmtId="14" fontId="0" fillId="0" borderId="50" xfId="0" applyNumberFormat="1" applyBorder="1"/>
    <xf numFmtId="0" fontId="0" fillId="0" borderId="51" xfId="0" applyBorder="1"/>
    <xf numFmtId="14" fontId="0" fillId="0" borderId="51" xfId="0" applyNumberFormat="1" applyBorder="1"/>
    <xf numFmtId="2" fontId="5" fillId="2" borderId="4" xfId="0" applyNumberFormat="1" applyFont="1" applyFill="1" applyBorder="1"/>
    <xf numFmtId="0" fontId="5" fillId="0" borderId="51" xfId="0" applyFont="1" applyBorder="1"/>
    <xf numFmtId="167" fontId="18" fillId="0" borderId="50" xfId="0" applyNumberFormat="1" applyFont="1" applyBorder="1"/>
    <xf numFmtId="0" fontId="0" fillId="10" borderId="50" xfId="0" applyFill="1" applyBorder="1"/>
    <xf numFmtId="14" fontId="0" fillId="10" borderId="50" xfId="0" applyNumberFormat="1" applyFill="1" applyBorder="1"/>
    <xf numFmtId="0" fontId="18" fillId="11" borderId="50" xfId="0" applyFont="1" applyFill="1" applyBorder="1"/>
    <xf numFmtId="167" fontId="18" fillId="11" borderId="50" xfId="0" applyNumberFormat="1" applyFont="1" applyFill="1" applyBorder="1"/>
    <xf numFmtId="167" fontId="5" fillId="10" borderId="50" xfId="3" applyNumberFormat="1" applyFont="1" applyFill="1" applyBorder="1"/>
    <xf numFmtId="44" fontId="18" fillId="11" borderId="50" xfId="0" applyNumberFormat="1" applyFont="1" applyFill="1" applyBorder="1"/>
    <xf numFmtId="2" fontId="5" fillId="11" borderId="50" xfId="0" applyNumberFormat="1" applyFont="1" applyFill="1" applyBorder="1"/>
    <xf numFmtId="43" fontId="5" fillId="11" borderId="50" xfId="0" applyNumberFormat="1" applyFont="1" applyFill="1" applyBorder="1"/>
    <xf numFmtId="0" fontId="5" fillId="10" borderId="0" xfId="0" applyFont="1" applyFill="1"/>
    <xf numFmtId="0" fontId="0" fillId="10" borderId="0" xfId="0" applyFill="1"/>
    <xf numFmtId="14" fontId="5" fillId="0" borderId="50" xfId="0" applyNumberFormat="1" applyFont="1" applyBorder="1" applyAlignment="1">
      <alignment horizontal="right"/>
    </xf>
    <xf numFmtId="43" fontId="5" fillId="0" borderId="50" xfId="3" applyFont="1" applyBorder="1"/>
    <xf numFmtId="44" fontId="5" fillId="0" borderId="50" xfId="2" applyFont="1" applyBorder="1"/>
    <xf numFmtId="44" fontId="5" fillId="0" borderId="50" xfId="0" applyNumberFormat="1" applyFont="1" applyBorder="1"/>
    <xf numFmtId="2" fontId="5" fillId="0" borderId="50" xfId="0" applyNumberFormat="1" applyFont="1" applyBorder="1"/>
    <xf numFmtId="0" fontId="5" fillId="0" borderId="50" xfId="0" applyFont="1" applyBorder="1" applyAlignment="1">
      <alignment horizontal="right"/>
    </xf>
    <xf numFmtId="167" fontId="5" fillId="0" borderId="50" xfId="0" applyNumberFormat="1" applyFont="1" applyBorder="1"/>
    <xf numFmtId="44" fontId="5" fillId="0" borderId="50" xfId="2" applyFont="1" applyFill="1" applyBorder="1"/>
    <xf numFmtId="167" fontId="5" fillId="0" borderId="50" xfId="3" applyNumberFormat="1" applyFont="1" applyFill="1" applyBorder="1"/>
    <xf numFmtId="1" fontId="5" fillId="0" borderId="50" xfId="0" applyNumberFormat="1" applyFont="1" applyBorder="1"/>
    <xf numFmtId="2" fontId="5" fillId="0" borderId="50" xfId="2" applyNumberFormat="1" applyFont="1" applyBorder="1"/>
    <xf numFmtId="0" fontId="5" fillId="10" borderId="50" xfId="0" applyFont="1" applyFill="1" applyBorder="1"/>
    <xf numFmtId="14" fontId="5" fillId="10" borderId="50" xfId="0" applyNumberFormat="1" applyFont="1" applyFill="1" applyBorder="1" applyAlignment="1">
      <alignment horizontal="right"/>
    </xf>
    <xf numFmtId="44" fontId="5" fillId="10" borderId="50" xfId="2" applyFont="1" applyFill="1" applyBorder="1"/>
    <xf numFmtId="43" fontId="5" fillId="10" borderId="50" xfId="3" applyFont="1" applyFill="1" applyBorder="1"/>
    <xf numFmtId="44" fontId="5" fillId="10" borderId="50" xfId="0" applyNumberFormat="1" applyFont="1" applyFill="1" applyBorder="1"/>
    <xf numFmtId="2" fontId="5" fillId="10" borderId="50" xfId="0" applyNumberFormat="1" applyFont="1" applyFill="1" applyBorder="1"/>
    <xf numFmtId="3" fontId="5" fillId="0" borderId="50" xfId="0" applyNumberFormat="1" applyFont="1" applyBorder="1"/>
    <xf numFmtId="2" fontId="5" fillId="0" borderId="52" xfId="0" applyNumberFormat="1" applyFont="1" applyBorder="1"/>
    <xf numFmtId="43" fontId="5" fillId="0" borderId="50" xfId="3" applyFont="1" applyBorder="1" applyAlignment="1"/>
    <xf numFmtId="170" fontId="5" fillId="0" borderId="50" xfId="3" applyNumberFormat="1" applyFont="1" applyBorder="1"/>
    <xf numFmtId="43" fontId="5" fillId="0" borderId="50" xfId="3" applyFont="1" applyFill="1" applyBorder="1"/>
    <xf numFmtId="3" fontId="0" fillId="0" borderId="50" xfId="0" applyNumberFormat="1" applyBorder="1"/>
    <xf numFmtId="14" fontId="0" fillId="0" borderId="53" xfId="0" applyNumberFormat="1" applyBorder="1"/>
    <xf numFmtId="0" fontId="20" fillId="0" borderId="50" xfId="0" applyFont="1" applyBorder="1"/>
    <xf numFmtId="167" fontId="0" fillId="0" borderId="50" xfId="3" applyNumberFormat="1" applyFont="1" applyBorder="1"/>
    <xf numFmtId="3" fontId="27" fillId="0" borderId="50" xfId="0" applyNumberFormat="1" applyFont="1" applyBorder="1"/>
    <xf numFmtId="167" fontId="27" fillId="0" borderId="50" xfId="3" applyNumberFormat="1" applyFont="1" applyBorder="1"/>
    <xf numFmtId="14" fontId="20" fillId="0" borderId="50" xfId="0" applyNumberFormat="1" applyFont="1" applyBorder="1"/>
    <xf numFmtId="167" fontId="5" fillId="0" borderId="52" xfId="3" applyNumberFormat="1" applyFont="1" applyFill="1" applyBorder="1"/>
    <xf numFmtId="167" fontId="0" fillId="0" borderId="50" xfId="3" applyNumberFormat="1" applyFont="1" applyFill="1" applyBorder="1"/>
    <xf numFmtId="3" fontId="0" fillId="0" borderId="53" xfId="0" applyNumberFormat="1" applyBorder="1"/>
    <xf numFmtId="0" fontId="2" fillId="12" borderId="10" xfId="0" applyFont="1" applyFill="1" applyBorder="1" applyAlignment="1" applyProtection="1">
      <alignment horizontal="left"/>
      <protection locked="0"/>
    </xf>
    <xf numFmtId="166" fontId="2" fillId="12" borderId="11" xfId="0" applyNumberFormat="1" applyFont="1" applyFill="1" applyBorder="1" applyProtection="1">
      <protection locked="0"/>
    </xf>
    <xf numFmtId="164" fontId="8" fillId="13" borderId="7" xfId="0" applyNumberFormat="1" applyFont="1" applyFill="1" applyBorder="1"/>
    <xf numFmtId="164" fontId="6" fillId="14" borderId="7" xfId="0" applyNumberFormat="1" applyFont="1" applyFill="1" applyBorder="1"/>
    <xf numFmtId="164" fontId="6" fillId="13" borderId="7" xfId="0" applyNumberFormat="1" applyFont="1" applyFill="1" applyBorder="1"/>
    <xf numFmtId="164" fontId="8" fillId="14" borderId="7" xfId="0" applyNumberFormat="1" applyFont="1" applyFill="1" applyBorder="1"/>
    <xf numFmtId="9" fontId="6" fillId="14" borderId="9" xfId="0" applyNumberFormat="1" applyFont="1" applyFill="1" applyBorder="1"/>
    <xf numFmtId="0" fontId="1" fillId="2" borderId="50" xfId="0" applyFont="1" applyFill="1" applyBorder="1" applyAlignment="1">
      <alignment horizontal="left" vertical="top"/>
    </xf>
    <xf numFmtId="0" fontId="28" fillId="2" borderId="50" xfId="0" applyFont="1" applyFill="1" applyBorder="1" applyAlignment="1">
      <alignment horizontal="left" vertical="top"/>
    </xf>
    <xf numFmtId="0" fontId="1" fillId="15" borderId="50" xfId="0" applyFont="1" applyFill="1" applyBorder="1" applyAlignment="1">
      <alignment horizontal="left" vertical="top"/>
    </xf>
    <xf numFmtId="166" fontId="29" fillId="12" borderId="11" xfId="0" applyNumberFormat="1" applyFont="1" applyFill="1" applyBorder="1" applyProtection="1">
      <protection locked="0"/>
    </xf>
    <xf numFmtId="0" fontId="2" fillId="12" borderId="16" xfId="0" applyFont="1" applyFill="1" applyBorder="1" applyAlignment="1" applyProtection="1">
      <alignment horizontal="center" vertical="center"/>
      <protection locked="0"/>
    </xf>
    <xf numFmtId="0" fontId="2" fillId="12" borderId="18" xfId="0" applyFont="1" applyFill="1" applyBorder="1" applyAlignment="1" applyProtection="1">
      <alignment horizontal="center" vertical="center"/>
      <protection locked="0"/>
    </xf>
    <xf numFmtId="0" fontId="2" fillId="12" borderId="5" xfId="0" applyFont="1" applyFill="1" applyBorder="1" applyAlignment="1" applyProtection="1">
      <alignment horizontal="center" vertical="center"/>
      <protection locked="0"/>
    </xf>
    <xf numFmtId="0" fontId="2" fillId="12" borderId="31" xfId="0" applyFont="1" applyFill="1" applyBorder="1" applyAlignment="1" applyProtection="1">
      <alignment horizontal="center" vertical="center"/>
      <protection locked="0"/>
    </xf>
    <xf numFmtId="0" fontId="2" fillId="12" borderId="16" xfId="0" applyFont="1" applyFill="1" applyBorder="1" applyAlignment="1" applyProtection="1">
      <alignment horizontal="left" vertical="center"/>
      <protection locked="0"/>
    </xf>
    <xf numFmtId="0" fontId="2" fillId="12" borderId="18" xfId="0" applyFont="1" applyFill="1" applyBorder="1" applyAlignment="1" applyProtection="1">
      <alignment horizontal="left" vertical="center"/>
      <protection locked="0"/>
    </xf>
    <xf numFmtId="0" fontId="2" fillId="12" borderId="28" xfId="0" applyFont="1" applyFill="1" applyBorder="1" applyAlignment="1" applyProtection="1">
      <alignment horizontal="left" vertical="center"/>
      <protection locked="0"/>
    </xf>
    <xf numFmtId="0" fontId="2" fillId="12" borderId="31" xfId="0" applyFont="1" applyFill="1" applyBorder="1" applyAlignment="1" applyProtection="1">
      <alignment horizontal="left" vertical="center"/>
      <protection locked="0"/>
    </xf>
    <xf numFmtId="0" fontId="9" fillId="6" borderId="2" xfId="0" applyFont="1" applyFill="1" applyBorder="1" applyAlignment="1">
      <alignment horizontal="center" vertical="center"/>
    </xf>
    <xf numFmtId="0" fontId="3" fillId="0" borderId="3" xfId="0" applyFont="1" applyBorder="1"/>
    <xf numFmtId="0" fontId="3" fillId="0" borderId="12" xfId="0" applyFont="1" applyBorder="1"/>
    <xf numFmtId="0" fontId="3" fillId="0" borderId="13" xfId="0" applyFont="1" applyBorder="1"/>
    <xf numFmtId="0" fontId="15" fillId="8" borderId="21" xfId="0" applyFont="1" applyFill="1" applyBorder="1" applyAlignment="1">
      <alignment horizontal="right" vertical="center"/>
    </xf>
    <xf numFmtId="0" fontId="3" fillId="0" borderId="22" xfId="0" applyFont="1" applyBorder="1"/>
    <xf numFmtId="0" fontId="1" fillId="0" borderId="14" xfId="0" applyFont="1" applyBorder="1" applyAlignment="1">
      <alignment horizontal="center"/>
    </xf>
    <xf numFmtId="0" fontId="3" fillId="0" borderId="14" xfId="0" applyFont="1" applyBorder="1"/>
    <xf numFmtId="0" fontId="13" fillId="0" borderId="0" xfId="0" applyFont="1" applyAlignment="1">
      <alignment horizontal="center"/>
    </xf>
    <xf numFmtId="0" fontId="0" fillId="0" borderId="0" xfId="0"/>
    <xf numFmtId="0" fontId="15" fillId="0" borderId="14" xfId="0" applyFont="1" applyBorder="1" applyAlignment="1">
      <alignment horizontal="center" vertical="center"/>
    </xf>
    <xf numFmtId="0" fontId="3" fillId="0" borderId="23" xfId="0" applyFont="1" applyBorder="1"/>
    <xf numFmtId="0" fontId="15" fillId="8" borderId="21" xfId="0" applyFont="1" applyFill="1" applyBorder="1" applyAlignment="1">
      <alignment horizontal="right"/>
    </xf>
    <xf numFmtId="0" fontId="1" fillId="0" borderId="27" xfId="0" applyFont="1" applyBorder="1" applyAlignment="1">
      <alignment horizontal="center" vertical="center"/>
    </xf>
    <xf numFmtId="0" fontId="3" fillId="0" borderId="27" xfId="0" applyFont="1" applyBorder="1"/>
    <xf numFmtId="167" fontId="14" fillId="0" borderId="21" xfId="0" applyNumberFormat="1" applyFont="1" applyBorder="1" applyAlignment="1">
      <alignment horizontal="center"/>
    </xf>
    <xf numFmtId="0" fontId="14" fillId="8" borderId="21" xfId="0" applyFont="1" applyFill="1" applyBorder="1" applyAlignment="1">
      <alignment horizontal="center"/>
    </xf>
    <xf numFmtId="0" fontId="7" fillId="7" borderId="24" xfId="0" applyFont="1" applyFill="1" applyBorder="1" applyAlignment="1">
      <alignment horizontal="left" vertical="top" wrapText="1"/>
    </xf>
    <xf numFmtId="0" fontId="3" fillId="0" borderId="25" xfId="0" applyFont="1" applyBorder="1"/>
    <xf numFmtId="0" fontId="3" fillId="0" borderId="26" xfId="0" applyFont="1" applyBorder="1"/>
    <xf numFmtId="0" fontId="3" fillId="0" borderId="28" xfId="0" applyFont="1" applyBorder="1"/>
    <xf numFmtId="0" fontId="3" fillId="0" borderId="29" xfId="0" applyFont="1" applyBorder="1"/>
    <xf numFmtId="0" fontId="5" fillId="7" borderId="24" xfId="0" applyFont="1" applyFill="1" applyBorder="1" applyAlignment="1">
      <alignment horizontal="left" vertical="center" wrapText="1"/>
    </xf>
    <xf numFmtId="0" fontId="13" fillId="0" borderId="14" xfId="0" applyFont="1" applyBorder="1" applyAlignment="1">
      <alignment horizontal="center"/>
    </xf>
    <xf numFmtId="0" fontId="24" fillId="4" borderId="41" xfId="0" applyFont="1" applyFill="1" applyBorder="1" applyAlignment="1" applyProtection="1">
      <alignment horizontal="center"/>
      <protection locked="0"/>
    </xf>
    <xf numFmtId="0" fontId="24" fillId="4" borderId="42" xfId="0" applyFont="1" applyFill="1" applyBorder="1" applyAlignment="1" applyProtection="1">
      <alignment horizontal="center"/>
      <protection locked="0"/>
    </xf>
  </cellXfs>
  <cellStyles count="4">
    <cellStyle name="Comma" xfId="3" builtinId="3"/>
    <cellStyle name="Currency" xfId="2" builtinId="4"/>
    <cellStyle name="Normal" xfId="0" builtinId="0"/>
    <cellStyle name="Percent" xfId="1" builtinId="5"/>
  </cellStyles>
  <dxfs count="0"/>
  <tableStyles count="0" defaultTableStyle="TableStyleMedium2" defaultPivotStyle="PivotStyleLight16"/>
  <colors>
    <mruColors>
      <color rgb="FF022A47"/>
      <color rgb="FF54C6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2"/>
  <sheetViews>
    <sheetView tabSelected="1" topLeftCell="J10" zoomScale="110" zoomScaleNormal="120" workbookViewId="0">
      <selection activeCell="K28" sqref="K28"/>
    </sheetView>
  </sheetViews>
  <sheetFormatPr defaultColWidth="12.6640625" defaultRowHeight="15" customHeight="1"/>
  <cols>
    <col min="1" max="1" width="3.6640625" customWidth="1"/>
    <col min="2" max="2" width="35.33203125" customWidth="1"/>
    <col min="3" max="3" width="20.109375" customWidth="1"/>
    <col min="4" max="4" width="9.33203125" customWidth="1"/>
    <col min="5" max="5" width="35.33203125" customWidth="1"/>
    <col min="6" max="6" width="20.33203125" customWidth="1"/>
    <col min="7" max="7" width="11" customWidth="1"/>
    <col min="8" max="8" width="32.6640625" customWidth="1"/>
    <col min="9" max="9" width="20" customWidth="1"/>
    <col min="10" max="10" width="14.33203125" customWidth="1"/>
    <col min="11" max="11" width="206.44140625" customWidth="1"/>
    <col min="12" max="12" width="25.44140625" customWidth="1"/>
    <col min="13" max="18" width="14.33203125" customWidth="1"/>
  </cols>
  <sheetData>
    <row r="1" spans="1:18" ht="15.75" customHeight="1" thickBot="1">
      <c r="A1" s="1"/>
      <c r="B1" s="2"/>
      <c r="C1" s="2"/>
      <c r="D1" s="1"/>
      <c r="E1" s="1"/>
      <c r="F1" s="1"/>
      <c r="G1" s="1"/>
      <c r="H1" s="1"/>
      <c r="I1" s="1"/>
      <c r="J1" s="1"/>
      <c r="K1" s="91"/>
      <c r="L1" s="91"/>
      <c r="M1" s="1"/>
      <c r="N1" s="1"/>
      <c r="O1" s="1"/>
      <c r="P1" s="1"/>
      <c r="Q1" s="1"/>
      <c r="R1" s="1"/>
    </row>
    <row r="2" spans="1:18" ht="13.5" customHeight="1">
      <c r="A2" s="1"/>
      <c r="B2" s="242"/>
      <c r="C2" s="243"/>
      <c r="D2" s="94"/>
      <c r="E2" s="242"/>
      <c r="F2" s="243"/>
      <c r="G2" s="95"/>
      <c r="H2" s="242"/>
      <c r="I2" s="243"/>
      <c r="J2" s="1"/>
      <c r="K2" s="246" t="s">
        <v>464</v>
      </c>
      <c r="L2" s="247"/>
      <c r="M2" s="1"/>
      <c r="N2" s="1"/>
      <c r="O2" s="1"/>
      <c r="P2" s="1"/>
      <c r="Q2" s="1"/>
      <c r="R2" s="1"/>
    </row>
    <row r="3" spans="1:18" ht="13.5" customHeight="1" thickBot="1">
      <c r="A3" s="1"/>
      <c r="B3" s="244"/>
      <c r="C3" s="245"/>
      <c r="D3" s="96"/>
      <c r="E3" s="244"/>
      <c r="F3" s="245"/>
      <c r="G3" s="95"/>
      <c r="H3" s="244"/>
      <c r="I3" s="245"/>
      <c r="J3" s="1"/>
      <c r="K3" s="248"/>
      <c r="L3" s="249"/>
      <c r="M3" s="1"/>
      <c r="N3" s="1"/>
      <c r="O3" s="1"/>
      <c r="P3" s="1"/>
      <c r="Q3" s="1"/>
      <c r="R3" s="1"/>
    </row>
    <row r="4" spans="1:18" ht="15.75" customHeight="1">
      <c r="A4" s="1"/>
      <c r="B4" s="97" t="s">
        <v>0</v>
      </c>
      <c r="C4" s="5">
        <f>C5+C7+C9+C11</f>
        <v>0</v>
      </c>
      <c r="D4" s="96"/>
      <c r="E4" s="97" t="s">
        <v>0</v>
      </c>
      <c r="F4" s="5">
        <f>F7+F11+F9+F5</f>
        <v>0</v>
      </c>
      <c r="G4" s="95"/>
      <c r="H4" s="97" t="s">
        <v>0</v>
      </c>
      <c r="I4" s="5">
        <f>I5+I7+I9+I11</f>
        <v>0</v>
      </c>
      <c r="J4" s="1"/>
      <c r="K4" s="239" t="s">
        <v>465</v>
      </c>
      <c r="L4" s="91"/>
      <c r="M4" s="1"/>
      <c r="N4" s="1"/>
      <c r="O4" s="1"/>
      <c r="P4" s="1"/>
      <c r="Q4" s="1"/>
      <c r="R4" s="1"/>
    </row>
    <row r="5" spans="1:18" ht="15" customHeight="1">
      <c r="A5" s="1"/>
      <c r="B5" s="97" t="s">
        <v>1</v>
      </c>
      <c r="C5" s="98"/>
      <c r="D5" s="96"/>
      <c r="E5" s="97" t="s">
        <v>1</v>
      </c>
      <c r="F5" s="98"/>
      <c r="G5" s="95"/>
      <c r="H5" s="97" t="s">
        <v>1</v>
      </c>
      <c r="I5" s="98"/>
      <c r="J5" s="1"/>
      <c r="K5" s="238" t="s">
        <v>466</v>
      </c>
      <c r="L5" s="91"/>
      <c r="M5" s="1"/>
      <c r="N5" s="1"/>
      <c r="O5" s="1"/>
      <c r="P5" s="1"/>
      <c r="Q5" s="1"/>
      <c r="R5" s="1"/>
    </row>
    <row r="6" spans="1:18" ht="15.75" customHeight="1">
      <c r="A6" s="1"/>
      <c r="B6" s="97" t="s">
        <v>2</v>
      </c>
      <c r="C6" s="99">
        <v>2000</v>
      </c>
      <c r="D6" s="96"/>
      <c r="E6" s="97" t="s">
        <v>2</v>
      </c>
      <c r="F6" s="99">
        <v>2000</v>
      </c>
      <c r="G6" s="95"/>
      <c r="H6" s="97" t="s">
        <v>2</v>
      </c>
      <c r="I6" s="99">
        <v>2000</v>
      </c>
      <c r="J6" s="1"/>
      <c r="K6" s="238" t="s">
        <v>467</v>
      </c>
      <c r="L6" s="91"/>
      <c r="M6" s="1"/>
      <c r="N6" s="1"/>
      <c r="O6" s="1"/>
      <c r="P6" s="1"/>
      <c r="Q6" s="1"/>
      <c r="R6" s="1"/>
    </row>
    <row r="7" spans="1:18" ht="15.75" customHeight="1">
      <c r="A7" s="1"/>
      <c r="B7" s="97" t="s">
        <v>3</v>
      </c>
      <c r="C7" s="98"/>
      <c r="D7" s="96"/>
      <c r="E7" s="97" t="s">
        <v>3</v>
      </c>
      <c r="F7" s="98"/>
      <c r="G7" s="95"/>
      <c r="H7" s="97" t="s">
        <v>3</v>
      </c>
      <c r="I7" s="98"/>
      <c r="J7" s="1"/>
      <c r="K7" s="238" t="s">
        <v>468</v>
      </c>
      <c r="L7" s="91"/>
      <c r="M7" s="1"/>
      <c r="N7" s="1"/>
      <c r="O7" s="1"/>
      <c r="P7" s="1"/>
      <c r="Q7" s="1"/>
      <c r="R7" s="1"/>
    </row>
    <row r="8" spans="1:18" ht="15.75" customHeight="1">
      <c r="A8" s="1"/>
      <c r="B8" s="97" t="s">
        <v>4</v>
      </c>
      <c r="C8" s="99">
        <v>1000</v>
      </c>
      <c r="D8" s="96"/>
      <c r="E8" s="97" t="s">
        <v>4</v>
      </c>
      <c r="F8" s="99">
        <v>1000</v>
      </c>
      <c r="G8" s="95"/>
      <c r="H8" s="97" t="s">
        <v>4</v>
      </c>
      <c r="I8" s="99">
        <v>1000</v>
      </c>
      <c r="J8" s="1"/>
      <c r="K8" s="238" t="s">
        <v>472</v>
      </c>
      <c r="L8" s="91"/>
      <c r="M8" s="1"/>
      <c r="N8" s="1"/>
      <c r="O8" s="1"/>
      <c r="P8" s="1"/>
      <c r="Q8" s="1"/>
      <c r="R8" s="1"/>
    </row>
    <row r="9" spans="1:18" ht="15.75" customHeight="1">
      <c r="A9" s="1"/>
      <c r="B9" s="97" t="s">
        <v>165</v>
      </c>
      <c r="C9" s="98"/>
      <c r="D9" s="96"/>
      <c r="E9" s="97" t="s">
        <v>165</v>
      </c>
      <c r="F9" s="98"/>
      <c r="G9" s="95"/>
      <c r="H9" s="97" t="s">
        <v>165</v>
      </c>
      <c r="I9" s="98"/>
      <c r="J9" s="1"/>
      <c r="K9" s="238" t="s">
        <v>469</v>
      </c>
      <c r="L9" s="91"/>
      <c r="M9" s="1"/>
      <c r="N9" s="1"/>
      <c r="O9" s="1"/>
      <c r="P9" s="1"/>
      <c r="Q9" s="1"/>
      <c r="R9" s="1"/>
    </row>
    <row r="10" spans="1:18" ht="15.75" customHeight="1">
      <c r="A10" s="1"/>
      <c r="B10" s="97" t="s">
        <v>166</v>
      </c>
      <c r="C10" s="99">
        <v>600</v>
      </c>
      <c r="D10" s="96"/>
      <c r="E10" s="97" t="s">
        <v>166</v>
      </c>
      <c r="F10" s="99">
        <v>600</v>
      </c>
      <c r="G10" s="95"/>
      <c r="H10" s="97" t="s">
        <v>166</v>
      </c>
      <c r="I10" s="99">
        <v>600</v>
      </c>
      <c r="J10" s="1"/>
      <c r="K10" s="238" t="s">
        <v>473</v>
      </c>
      <c r="L10" s="91"/>
      <c r="M10" s="1"/>
      <c r="N10" s="1"/>
      <c r="O10" s="1"/>
      <c r="P10" s="1"/>
      <c r="Q10" s="1"/>
      <c r="R10" s="1"/>
    </row>
    <row r="11" spans="1:18" ht="15.75" customHeight="1">
      <c r="A11" s="1"/>
      <c r="B11" s="97" t="s">
        <v>462</v>
      </c>
      <c r="C11" s="98"/>
      <c r="D11" s="96"/>
      <c r="E11" s="97" t="s">
        <v>462</v>
      </c>
      <c r="F11" s="98"/>
      <c r="G11" s="95"/>
      <c r="H11" s="97" t="s">
        <v>462</v>
      </c>
      <c r="I11" s="98"/>
      <c r="J11" s="1"/>
      <c r="K11" s="238" t="s">
        <v>470</v>
      </c>
      <c r="L11" s="91"/>
      <c r="M11" s="1"/>
      <c r="N11" s="1"/>
      <c r="O11" s="1"/>
      <c r="P11" s="1"/>
      <c r="Q11" s="1"/>
      <c r="R11" s="1"/>
    </row>
    <row r="12" spans="1:18" ht="15.75" customHeight="1">
      <c r="A12" s="1"/>
      <c r="B12" s="97" t="s">
        <v>463</v>
      </c>
      <c r="C12" s="99">
        <v>10000</v>
      </c>
      <c r="D12" s="96"/>
      <c r="E12" s="97" t="s">
        <v>463</v>
      </c>
      <c r="F12" s="99">
        <v>10000</v>
      </c>
      <c r="G12" s="95"/>
      <c r="H12" s="97" t="s">
        <v>463</v>
      </c>
      <c r="I12" s="99">
        <v>10000</v>
      </c>
      <c r="J12" s="1"/>
      <c r="K12" s="238" t="s">
        <v>471</v>
      </c>
      <c r="L12" s="91"/>
      <c r="M12" s="1"/>
      <c r="N12" s="1"/>
      <c r="O12" s="1"/>
      <c r="P12" s="1"/>
      <c r="Q12" s="1"/>
      <c r="R12" s="1"/>
    </row>
    <row r="13" spans="1:18" ht="15.75" customHeight="1">
      <c r="A13" s="1"/>
      <c r="B13" s="100" t="s">
        <v>485</v>
      </c>
      <c r="C13" s="233">
        <f>(C5*C6)+(C7*C8)+(C9*C10)+(C11*C12)</f>
        <v>0</v>
      </c>
      <c r="D13" s="96"/>
      <c r="E13" s="100" t="s">
        <v>485</v>
      </c>
      <c r="F13" s="233">
        <f>(F5*F6)+(F7*F8)+(F9*F10)+(F11*F12)</f>
        <v>0</v>
      </c>
      <c r="G13" s="95"/>
      <c r="H13" s="100" t="s">
        <v>485</v>
      </c>
      <c r="I13" s="233">
        <f>(I5*I6)+(I7*I8)+(I9*I10)+(I11*I12)</f>
        <v>0</v>
      </c>
      <c r="J13" s="1"/>
      <c r="K13" s="239" t="s">
        <v>474</v>
      </c>
      <c r="L13" s="91"/>
      <c r="M13" s="1"/>
      <c r="N13" s="1"/>
      <c r="O13" s="1"/>
      <c r="P13" s="1"/>
      <c r="Q13" s="1"/>
      <c r="R13" s="1"/>
    </row>
    <row r="14" spans="1:18" ht="15.75" customHeight="1">
      <c r="A14" s="91"/>
      <c r="B14" s="97" t="s">
        <v>6</v>
      </c>
      <c r="C14" s="99">
        <v>4500</v>
      </c>
      <c r="D14" s="96"/>
      <c r="E14" s="97" t="s">
        <v>6</v>
      </c>
      <c r="F14" s="99">
        <v>4500</v>
      </c>
      <c r="G14" s="95"/>
      <c r="H14" s="97" t="s">
        <v>6</v>
      </c>
      <c r="I14" s="99">
        <v>4500</v>
      </c>
      <c r="J14" s="91"/>
      <c r="K14" s="238" t="s">
        <v>475</v>
      </c>
      <c r="L14" s="91"/>
      <c r="M14" s="91"/>
      <c r="N14" s="91"/>
      <c r="O14" s="91"/>
      <c r="P14" s="91"/>
      <c r="Q14" s="91"/>
      <c r="R14" s="91"/>
    </row>
    <row r="15" spans="1:18" ht="15.75" customHeight="1">
      <c r="A15" s="91"/>
      <c r="B15" s="97" t="s">
        <v>7</v>
      </c>
      <c r="C15" s="99"/>
      <c r="D15" s="96"/>
      <c r="E15" s="97" t="s">
        <v>7</v>
      </c>
      <c r="F15" s="99">
        <v>0</v>
      </c>
      <c r="G15" s="95"/>
      <c r="H15" s="97" t="s">
        <v>7</v>
      </c>
      <c r="I15" s="99"/>
      <c r="J15" s="91"/>
      <c r="K15" s="238" t="s">
        <v>476</v>
      </c>
      <c r="L15" s="91"/>
      <c r="M15" s="91"/>
      <c r="N15" s="91"/>
      <c r="O15" s="91"/>
      <c r="P15" s="91"/>
      <c r="Q15" s="91"/>
      <c r="R15" s="91"/>
    </row>
    <row r="16" spans="1:18" ht="15.75" customHeight="1">
      <c r="A16" s="91"/>
      <c r="B16" s="100" t="s">
        <v>172</v>
      </c>
      <c r="C16" s="233">
        <f>C14+C15</f>
        <v>4500</v>
      </c>
      <c r="D16" s="102"/>
      <c r="E16" s="100" t="s">
        <v>172</v>
      </c>
      <c r="F16" s="233">
        <f>F14+F15</f>
        <v>4500</v>
      </c>
      <c r="G16" s="103"/>
      <c r="H16" s="100" t="s">
        <v>172</v>
      </c>
      <c r="I16" s="233">
        <f>I14+I15</f>
        <v>4500</v>
      </c>
      <c r="J16" s="91"/>
      <c r="K16" s="239" t="s">
        <v>477</v>
      </c>
      <c r="L16" s="91"/>
      <c r="M16" s="91"/>
      <c r="N16" s="91"/>
      <c r="O16" s="91"/>
      <c r="P16" s="91"/>
      <c r="Q16" s="91"/>
      <c r="R16" s="91"/>
    </row>
    <row r="17" spans="1:18" ht="15.75" customHeight="1">
      <c r="A17" s="1"/>
      <c r="B17" s="97" t="s">
        <v>8</v>
      </c>
      <c r="C17" s="99">
        <v>0</v>
      </c>
      <c r="D17" s="96"/>
      <c r="E17" s="97" t="s">
        <v>8</v>
      </c>
      <c r="F17" s="99">
        <v>0</v>
      </c>
      <c r="G17" s="95"/>
      <c r="H17" s="97" t="s">
        <v>8</v>
      </c>
      <c r="I17" s="99">
        <v>0</v>
      </c>
      <c r="J17" s="1"/>
      <c r="K17" s="238" t="s">
        <v>478</v>
      </c>
      <c r="L17" s="91"/>
      <c r="M17" s="1"/>
      <c r="N17" s="1"/>
      <c r="O17" s="1"/>
      <c r="P17" s="1"/>
      <c r="Q17" s="1"/>
      <c r="R17" s="1"/>
    </row>
    <row r="18" spans="1:18" ht="15.75" customHeight="1">
      <c r="A18" s="1"/>
      <c r="B18" s="97" t="s">
        <v>9</v>
      </c>
      <c r="C18" s="99">
        <v>0</v>
      </c>
      <c r="D18" s="96"/>
      <c r="E18" s="97" t="s">
        <v>9</v>
      </c>
      <c r="F18" s="99">
        <v>0</v>
      </c>
      <c r="G18" s="95"/>
      <c r="H18" s="97" t="s">
        <v>9</v>
      </c>
      <c r="I18" s="99">
        <v>0</v>
      </c>
      <c r="J18" s="1"/>
      <c r="K18" s="238" t="s">
        <v>479</v>
      </c>
      <c r="L18" s="91"/>
      <c r="M18" s="1"/>
      <c r="N18" s="1"/>
      <c r="O18" s="1"/>
      <c r="P18" s="1"/>
      <c r="Q18" s="1"/>
      <c r="R18" s="1"/>
    </row>
    <row r="19" spans="1:18" ht="15.75" customHeight="1">
      <c r="A19" s="1"/>
      <c r="B19" s="100" t="s">
        <v>10</v>
      </c>
      <c r="C19" s="233">
        <f>C4*C17</f>
        <v>0</v>
      </c>
      <c r="D19" s="96"/>
      <c r="E19" s="100" t="s">
        <v>10</v>
      </c>
      <c r="F19" s="233">
        <f>F4*F17</f>
        <v>0</v>
      </c>
      <c r="G19" s="95"/>
      <c r="H19" s="100" t="s">
        <v>10</v>
      </c>
      <c r="I19" s="233">
        <f>I4*I17</f>
        <v>0</v>
      </c>
      <c r="J19" s="1"/>
      <c r="K19" s="239" t="s">
        <v>480</v>
      </c>
      <c r="L19" s="91"/>
      <c r="M19" s="1"/>
      <c r="N19" s="1"/>
      <c r="O19" s="1"/>
      <c r="P19" s="1"/>
      <c r="Q19" s="1"/>
      <c r="R19" s="1"/>
    </row>
    <row r="20" spans="1:18" ht="15.75" customHeight="1">
      <c r="A20" s="1"/>
      <c r="B20" s="100" t="s">
        <v>11</v>
      </c>
      <c r="C20" s="233">
        <v>1000</v>
      </c>
      <c r="D20" s="96"/>
      <c r="E20" s="100" t="s">
        <v>11</v>
      </c>
      <c r="F20" s="233">
        <v>1000</v>
      </c>
      <c r="G20" s="95"/>
      <c r="H20" s="100" t="s">
        <v>11</v>
      </c>
      <c r="I20" s="233">
        <v>1000</v>
      </c>
      <c r="J20" s="1"/>
      <c r="K20" s="238" t="s">
        <v>481</v>
      </c>
      <c r="L20" s="91"/>
      <c r="M20" s="1"/>
      <c r="N20" s="1"/>
      <c r="O20" s="1"/>
      <c r="P20" s="1"/>
      <c r="Q20" s="1"/>
      <c r="R20" s="1"/>
    </row>
    <row r="21" spans="1:18" ht="15.75" customHeight="1">
      <c r="A21" s="1"/>
      <c r="B21" s="100" t="s">
        <v>12</v>
      </c>
      <c r="C21" s="233">
        <v>500</v>
      </c>
      <c r="D21" s="96"/>
      <c r="E21" s="100" t="s">
        <v>12</v>
      </c>
      <c r="F21" s="233">
        <v>500</v>
      </c>
      <c r="G21" s="95"/>
      <c r="H21" s="100" t="s">
        <v>12</v>
      </c>
      <c r="I21" s="233">
        <v>500</v>
      </c>
      <c r="J21" s="1"/>
      <c r="K21" s="238" t="s">
        <v>481</v>
      </c>
      <c r="L21" s="91"/>
      <c r="M21" s="1"/>
      <c r="N21" s="1"/>
      <c r="O21" s="1"/>
      <c r="P21" s="1"/>
      <c r="Q21" s="1"/>
      <c r="R21" s="1"/>
    </row>
    <row r="22" spans="1:18" ht="15.75" customHeight="1">
      <c r="A22" s="1"/>
      <c r="B22" s="100" t="s">
        <v>13</v>
      </c>
      <c r="C22" s="101">
        <v>500</v>
      </c>
      <c r="D22" s="96"/>
      <c r="E22" s="100" t="s">
        <v>13</v>
      </c>
      <c r="F22" s="101">
        <v>500</v>
      </c>
      <c r="G22" s="95"/>
      <c r="H22" s="100" t="s">
        <v>13</v>
      </c>
      <c r="I22" s="101">
        <v>500</v>
      </c>
      <c r="J22" s="1"/>
      <c r="K22" s="238" t="s">
        <v>482</v>
      </c>
      <c r="L22" s="91"/>
      <c r="M22" s="1"/>
      <c r="N22" s="1"/>
      <c r="O22" s="1"/>
      <c r="P22" s="1"/>
      <c r="Q22" s="1"/>
      <c r="R22" s="1"/>
    </row>
    <row r="23" spans="1:18" ht="15.75" customHeight="1">
      <c r="A23" s="1"/>
      <c r="B23" s="97" t="s">
        <v>14</v>
      </c>
      <c r="C23" s="234">
        <v>250</v>
      </c>
      <c r="D23" s="96"/>
      <c r="E23" s="97" t="s">
        <v>14</v>
      </c>
      <c r="F23" s="234">
        <v>250</v>
      </c>
      <c r="G23" s="95"/>
      <c r="H23" s="97" t="s">
        <v>14</v>
      </c>
      <c r="I23" s="234">
        <v>250</v>
      </c>
      <c r="J23" s="1"/>
      <c r="K23" s="238" t="s">
        <v>483</v>
      </c>
      <c r="L23" s="91"/>
      <c r="M23" s="1"/>
      <c r="N23" s="1"/>
      <c r="O23" s="1"/>
      <c r="P23" s="1"/>
      <c r="Q23" s="1"/>
      <c r="R23" s="1"/>
    </row>
    <row r="24" spans="1:18" ht="15.75" customHeight="1">
      <c r="A24" s="1"/>
      <c r="B24" s="97" t="s">
        <v>15</v>
      </c>
      <c r="C24" s="98">
        <v>10</v>
      </c>
      <c r="D24" s="102"/>
      <c r="E24" s="97" t="s">
        <v>15</v>
      </c>
      <c r="F24" s="98">
        <v>10</v>
      </c>
      <c r="G24" s="104"/>
      <c r="H24" s="97" t="s">
        <v>15</v>
      </c>
      <c r="I24" s="98">
        <v>10</v>
      </c>
      <c r="J24" s="1"/>
      <c r="K24" s="240"/>
      <c r="L24" s="91"/>
      <c r="M24" s="1"/>
      <c r="N24" s="1"/>
      <c r="O24" s="1"/>
      <c r="P24" s="1"/>
      <c r="Q24" s="1"/>
      <c r="R24" s="1"/>
    </row>
    <row r="25" spans="1:18" ht="15.75" customHeight="1">
      <c r="A25" s="1"/>
      <c r="B25" s="97" t="s">
        <v>16</v>
      </c>
      <c r="C25" s="98">
        <v>0</v>
      </c>
      <c r="D25" s="102"/>
      <c r="E25" s="97" t="s">
        <v>16</v>
      </c>
      <c r="F25" s="98">
        <v>0</v>
      </c>
      <c r="G25" s="104"/>
      <c r="H25" s="97" t="s">
        <v>16</v>
      </c>
      <c r="I25" s="98">
        <v>0</v>
      </c>
      <c r="J25" s="1"/>
      <c r="K25" s="240"/>
      <c r="L25" s="91"/>
      <c r="M25" s="1"/>
      <c r="N25" s="1"/>
      <c r="O25" s="1"/>
      <c r="P25" s="1"/>
      <c r="Q25" s="1"/>
      <c r="R25" s="1"/>
    </row>
    <row r="26" spans="1:18" ht="15.75" customHeight="1">
      <c r="A26" s="91"/>
      <c r="B26" s="97" t="s">
        <v>17</v>
      </c>
      <c r="C26" s="98">
        <v>0</v>
      </c>
      <c r="D26" s="96"/>
      <c r="E26" s="97" t="s">
        <v>17</v>
      </c>
      <c r="F26" s="98">
        <v>0</v>
      </c>
      <c r="G26" s="95"/>
      <c r="H26" s="97" t="s">
        <v>17</v>
      </c>
      <c r="I26" s="98">
        <v>0</v>
      </c>
      <c r="J26" s="91"/>
      <c r="K26" s="240"/>
      <c r="L26" s="91"/>
      <c r="M26" s="91"/>
      <c r="N26" s="91"/>
      <c r="O26" s="91"/>
      <c r="P26" s="91"/>
      <c r="Q26" s="91"/>
      <c r="R26" s="91"/>
    </row>
    <row r="27" spans="1:18" ht="15.75" customHeight="1">
      <c r="A27" s="91"/>
      <c r="B27" s="100" t="s">
        <v>18</v>
      </c>
      <c r="C27" s="235">
        <f>(C24+C25+C26)*C23</f>
        <v>2500</v>
      </c>
      <c r="D27" s="96"/>
      <c r="E27" s="100" t="s">
        <v>18</v>
      </c>
      <c r="F27" s="235">
        <f>(F24+F25+F26)*F23</f>
        <v>2500</v>
      </c>
      <c r="G27" s="95"/>
      <c r="H27" s="100" t="s">
        <v>18</v>
      </c>
      <c r="I27" s="235">
        <f>(I24+I25+I26)*I23</f>
        <v>2500</v>
      </c>
      <c r="J27" s="91"/>
      <c r="K27" s="239" t="s">
        <v>484</v>
      </c>
      <c r="L27" s="91"/>
      <c r="M27" s="91"/>
      <c r="N27" s="91"/>
      <c r="O27" s="91"/>
      <c r="P27" s="91"/>
      <c r="Q27" s="91"/>
      <c r="R27" s="91"/>
    </row>
    <row r="28" spans="1:18" ht="15.75" customHeight="1">
      <c r="A28" s="1"/>
      <c r="B28" s="105" t="s">
        <v>19</v>
      </c>
      <c r="C28" s="236">
        <f>C13+C19+C20+C21+C22+C27+C16</f>
        <v>9000</v>
      </c>
      <c r="D28" s="96"/>
      <c r="E28" s="105" t="s">
        <v>19</v>
      </c>
      <c r="F28" s="236">
        <f>F13+F19+F20+F21+F22+F27+F16</f>
        <v>9000</v>
      </c>
      <c r="G28" s="95"/>
      <c r="H28" s="105" t="s">
        <v>19</v>
      </c>
      <c r="I28" s="236">
        <f>I13+I19+I20+I21+I22+I27+I16</f>
        <v>9000</v>
      </c>
      <c r="J28" s="1"/>
      <c r="K28" s="238" t="s">
        <v>486</v>
      </c>
      <c r="L28" s="91"/>
      <c r="M28" s="1"/>
      <c r="N28" s="1"/>
      <c r="O28" s="1"/>
      <c r="P28" s="1"/>
      <c r="Q28" s="1"/>
      <c r="R28" s="1"/>
    </row>
    <row r="29" spans="1:18" ht="15.75" customHeight="1">
      <c r="A29" s="1"/>
      <c r="B29" s="97" t="s">
        <v>461</v>
      </c>
      <c r="C29" s="234">
        <f>C28*1.8</f>
        <v>16200</v>
      </c>
      <c r="D29" s="96"/>
      <c r="E29" s="97" t="s">
        <v>461</v>
      </c>
      <c r="F29" s="234">
        <f>F28*1.8</f>
        <v>16200</v>
      </c>
      <c r="G29" s="95"/>
      <c r="H29" s="97" t="s">
        <v>461</v>
      </c>
      <c r="I29" s="234">
        <f>I28*1.8</f>
        <v>16200</v>
      </c>
      <c r="J29" s="10"/>
      <c r="K29" s="238" t="s">
        <v>487</v>
      </c>
      <c r="L29" s="91"/>
      <c r="M29" s="1"/>
      <c r="N29" s="1"/>
      <c r="O29" s="1"/>
      <c r="P29" s="1"/>
      <c r="Q29" s="1"/>
      <c r="R29" s="1"/>
    </row>
    <row r="30" spans="1:18" ht="15.75" customHeight="1" thickBot="1">
      <c r="A30" s="1"/>
      <c r="B30" s="106" t="s">
        <v>20</v>
      </c>
      <c r="C30" s="237">
        <v>0.06</v>
      </c>
      <c r="D30" s="96"/>
      <c r="E30" s="106" t="s">
        <v>20</v>
      </c>
      <c r="F30" s="237">
        <v>0.06</v>
      </c>
      <c r="G30" s="95"/>
      <c r="H30" s="106" t="s">
        <v>20</v>
      </c>
      <c r="I30" s="237">
        <v>0.06</v>
      </c>
      <c r="J30" s="1"/>
      <c r="K30" s="238" t="s">
        <v>488</v>
      </c>
      <c r="L30" s="91"/>
      <c r="M30" s="1"/>
      <c r="N30" s="1"/>
      <c r="O30" s="1"/>
      <c r="P30" s="1"/>
      <c r="Q30" s="1"/>
      <c r="R30" s="1"/>
    </row>
    <row r="31" spans="1:18" ht="22.95" customHeight="1" thickTop="1" thickBot="1">
      <c r="A31" s="1"/>
      <c r="B31" s="231" t="s">
        <v>21</v>
      </c>
      <c r="C31" s="232">
        <f>((C29*C30)+C29)</f>
        <v>17172</v>
      </c>
      <c r="D31" s="96"/>
      <c r="E31" s="231" t="s">
        <v>21</v>
      </c>
      <c r="F31" s="232">
        <f>(((F29*F30)+F29))</f>
        <v>17172</v>
      </c>
      <c r="G31" s="95"/>
      <c r="H31" s="231" t="s">
        <v>21</v>
      </c>
      <c r="I31" s="232">
        <f>((I29*I30)+I29)</f>
        <v>17172</v>
      </c>
      <c r="J31" s="1"/>
      <c r="K31" s="241" t="s">
        <v>489</v>
      </c>
      <c r="L31" s="91"/>
      <c r="M31" s="1"/>
      <c r="N31" s="1"/>
      <c r="O31" s="1"/>
      <c r="P31" s="1"/>
      <c r="Q31" s="1"/>
      <c r="R31" s="1"/>
    </row>
    <row r="32" spans="1:18" ht="25.05" customHeight="1">
      <c r="A32" s="1"/>
      <c r="B32" s="1"/>
      <c r="C32" s="93"/>
      <c r="D32" s="8"/>
      <c r="E32" s="4"/>
      <c r="F32" s="1"/>
      <c r="G32" s="1"/>
      <c r="H32" s="1"/>
      <c r="I32" s="93"/>
      <c r="J32" s="1"/>
      <c r="K32" s="91"/>
      <c r="L32" s="91"/>
      <c r="M32" s="1"/>
      <c r="N32" s="1"/>
      <c r="O32" s="1"/>
      <c r="P32" s="1"/>
      <c r="Q32" s="1"/>
      <c r="R32" s="1"/>
    </row>
    <row r="33" spans="1:18" ht="15.75" customHeight="1">
      <c r="A33" s="1"/>
      <c r="B33" s="11"/>
      <c r="C33" s="12"/>
      <c r="D33" s="4"/>
      <c r="E33" s="4"/>
      <c r="F33" s="1"/>
      <c r="G33" s="1"/>
      <c r="H33" s="1"/>
      <c r="I33" s="1"/>
      <c r="J33" s="1"/>
      <c r="K33" s="91"/>
      <c r="L33" s="91"/>
      <c r="M33" s="1"/>
      <c r="N33" s="1"/>
      <c r="O33" s="1"/>
      <c r="P33" s="1"/>
      <c r="Q33" s="1"/>
      <c r="R33" s="1"/>
    </row>
    <row r="34" spans="1:18" ht="15.75" customHeight="1">
      <c r="A34" s="1"/>
      <c r="B34" s="12"/>
      <c r="C34" s="12"/>
      <c r="D34" s="9"/>
      <c r="E34" s="4"/>
      <c r="F34" s="1"/>
      <c r="G34" s="10"/>
      <c r="H34" s="1"/>
      <c r="I34" s="1"/>
      <c r="J34" s="1"/>
      <c r="K34" s="91"/>
      <c r="L34" s="91"/>
      <c r="M34" s="1"/>
      <c r="N34" s="1"/>
      <c r="O34" s="1"/>
      <c r="P34" s="1"/>
      <c r="Q34" s="1"/>
      <c r="R34" s="1"/>
    </row>
    <row r="35" spans="1:18" ht="27" customHeight="1">
      <c r="A35" s="1"/>
      <c r="B35" s="12"/>
      <c r="C35" s="12"/>
      <c r="D35" s="4"/>
      <c r="E35" s="4"/>
      <c r="F35" s="1"/>
      <c r="G35" s="1"/>
      <c r="H35" s="1"/>
      <c r="I35" s="1"/>
      <c r="J35" s="1"/>
      <c r="K35" s="91"/>
      <c r="L35" s="91"/>
      <c r="M35" s="1"/>
      <c r="N35" s="1"/>
      <c r="O35" s="1"/>
      <c r="P35" s="1"/>
      <c r="Q35" s="1"/>
      <c r="R35" s="1"/>
    </row>
    <row r="36" spans="1:18" ht="22.5" customHeight="1">
      <c r="A36" s="1"/>
      <c r="B36" s="12"/>
      <c r="C36" s="12"/>
      <c r="D36" s="1"/>
      <c r="E36" s="4"/>
      <c r="F36" s="1"/>
      <c r="G36" s="1"/>
      <c r="H36" s="1"/>
      <c r="I36" s="1"/>
      <c r="J36" s="10"/>
      <c r="K36" s="92"/>
      <c r="L36" s="92"/>
      <c r="M36" s="1"/>
      <c r="N36" s="1"/>
      <c r="O36" s="1"/>
      <c r="P36" s="1"/>
      <c r="Q36" s="1"/>
      <c r="R36" s="1"/>
    </row>
    <row r="37" spans="1:18" ht="15.75" customHeight="1">
      <c r="A37" s="1"/>
      <c r="B37" s="12"/>
      <c r="C37" s="12"/>
      <c r="D37" s="4"/>
      <c r="E37" s="4"/>
      <c r="F37" s="1"/>
      <c r="G37" s="1"/>
      <c r="H37" s="1"/>
      <c r="I37" s="1"/>
      <c r="J37" s="1"/>
      <c r="K37" s="91"/>
      <c r="L37" s="91"/>
      <c r="M37" s="1"/>
      <c r="N37" s="1"/>
      <c r="O37" s="1"/>
      <c r="P37" s="1"/>
      <c r="Q37" s="1"/>
      <c r="R37" s="1"/>
    </row>
    <row r="38" spans="1:18" ht="15.75" customHeight="1">
      <c r="A38" s="1"/>
      <c r="B38" s="12"/>
      <c r="C38" s="12"/>
      <c r="D38" s="4"/>
      <c r="E38" s="4"/>
      <c r="F38" s="1"/>
      <c r="G38" s="1"/>
      <c r="H38" s="1"/>
      <c r="I38" s="1"/>
      <c r="J38" s="1"/>
      <c r="K38" s="91"/>
      <c r="L38" s="91"/>
      <c r="M38" s="1"/>
      <c r="N38" s="1"/>
      <c r="O38" s="1"/>
      <c r="P38" s="1"/>
      <c r="Q38" s="1"/>
      <c r="R38" s="1"/>
    </row>
    <row r="39" spans="1:18" ht="15.75" customHeight="1">
      <c r="A39" s="1"/>
      <c r="B39" s="12"/>
      <c r="C39" s="12"/>
      <c r="D39" s="4"/>
      <c r="E39" s="4"/>
      <c r="F39" s="1"/>
      <c r="G39" s="1"/>
      <c r="H39" s="1"/>
      <c r="I39" s="1"/>
      <c r="J39" s="1"/>
      <c r="K39" s="91"/>
      <c r="L39" s="91"/>
      <c r="M39" s="1"/>
      <c r="N39" s="1"/>
      <c r="O39" s="1"/>
      <c r="P39" s="1"/>
      <c r="Q39" s="1"/>
      <c r="R39" s="1"/>
    </row>
    <row r="40" spans="1:18" ht="15.75" customHeight="1">
      <c r="A40" s="1"/>
      <c r="B40" s="12"/>
      <c r="C40" s="12"/>
      <c r="D40" s="4"/>
      <c r="E40" s="4"/>
      <c r="F40" s="1"/>
      <c r="G40" s="1"/>
      <c r="H40" s="1"/>
      <c r="I40" s="1"/>
      <c r="J40" s="1"/>
      <c r="K40" s="91"/>
      <c r="L40" s="91"/>
      <c r="M40" s="1"/>
      <c r="N40" s="1"/>
      <c r="O40" s="1"/>
      <c r="P40" s="1"/>
      <c r="Q40" s="1"/>
      <c r="R40" s="1"/>
    </row>
    <row r="41" spans="1:18" ht="15.75" customHeight="1">
      <c r="A41" s="1"/>
      <c r="B41" s="12"/>
      <c r="C41" s="12"/>
      <c r="D41" s="4"/>
      <c r="E41" s="4"/>
      <c r="F41" s="1"/>
      <c r="G41" s="1"/>
      <c r="H41" s="1"/>
      <c r="I41" s="1"/>
      <c r="J41" s="1"/>
      <c r="K41" s="91"/>
      <c r="L41" s="91"/>
      <c r="M41" s="1"/>
      <c r="N41" s="1"/>
      <c r="O41" s="1"/>
      <c r="P41" s="1"/>
      <c r="Q41" s="1"/>
      <c r="R41" s="1"/>
    </row>
    <row r="42" spans="1:18" ht="15.75" customHeight="1">
      <c r="A42" s="1"/>
      <c r="B42" s="12"/>
      <c r="C42" s="12"/>
      <c r="D42" s="4"/>
      <c r="E42" s="4"/>
      <c r="F42" s="1"/>
      <c r="G42" s="1"/>
      <c r="H42" s="1"/>
      <c r="I42" s="1"/>
      <c r="J42" s="1"/>
      <c r="K42" s="91"/>
      <c r="L42" s="91"/>
      <c r="M42" s="1"/>
      <c r="N42" s="1"/>
      <c r="O42" s="1"/>
      <c r="P42" s="1"/>
      <c r="Q42" s="1"/>
      <c r="R42" s="1"/>
    </row>
    <row r="43" spans="1:18" ht="15.75" customHeight="1">
      <c r="A43" s="1"/>
      <c r="B43" s="12"/>
      <c r="C43" s="12"/>
      <c r="D43" s="4"/>
      <c r="E43" s="4"/>
      <c r="F43" s="1"/>
      <c r="G43" s="1"/>
      <c r="H43" s="1"/>
      <c r="I43" s="1"/>
      <c r="J43" s="1"/>
      <c r="K43" s="91"/>
      <c r="L43" s="91"/>
      <c r="M43" s="1"/>
      <c r="N43" s="1"/>
      <c r="O43" s="1"/>
      <c r="P43" s="1"/>
      <c r="Q43" s="1"/>
      <c r="R43" s="1"/>
    </row>
    <row r="44" spans="1:18" ht="15.75" customHeight="1">
      <c r="A44" s="1"/>
      <c r="B44" s="12"/>
      <c r="C44" s="12"/>
      <c r="D44" s="4"/>
      <c r="E44" s="4"/>
      <c r="F44" s="1"/>
      <c r="G44" s="1"/>
      <c r="H44" s="1"/>
      <c r="I44" s="1"/>
      <c r="J44" s="1"/>
      <c r="K44" s="91"/>
      <c r="L44" s="91"/>
      <c r="M44" s="1"/>
      <c r="N44" s="1"/>
      <c r="O44" s="1"/>
      <c r="P44" s="1"/>
      <c r="Q44" s="1"/>
      <c r="R44" s="1"/>
    </row>
    <row r="45" spans="1:18" ht="15.75" customHeight="1">
      <c r="A45" s="1"/>
      <c r="B45" s="12"/>
      <c r="C45" s="12"/>
      <c r="D45" s="4"/>
      <c r="E45" s="4"/>
      <c r="F45" s="1"/>
      <c r="G45" s="1"/>
      <c r="H45" s="1"/>
      <c r="I45" s="1"/>
      <c r="J45" s="1"/>
      <c r="K45" s="91"/>
      <c r="L45" s="91"/>
      <c r="M45" s="1"/>
      <c r="N45" s="1"/>
      <c r="O45" s="1"/>
      <c r="P45" s="1"/>
      <c r="Q45" s="1"/>
      <c r="R45" s="1"/>
    </row>
    <row r="46" spans="1:18" ht="15.75" customHeight="1">
      <c r="A46" s="1"/>
      <c r="B46" s="12"/>
      <c r="C46" s="12"/>
      <c r="D46" s="4"/>
      <c r="E46" s="4"/>
      <c r="F46" s="1"/>
      <c r="G46" s="1"/>
      <c r="H46" s="1"/>
      <c r="I46" s="1"/>
      <c r="J46" s="1"/>
      <c r="K46" s="91"/>
      <c r="L46" s="91"/>
      <c r="M46" s="1"/>
      <c r="N46" s="1"/>
      <c r="O46" s="1"/>
      <c r="P46" s="1"/>
      <c r="Q46" s="1"/>
      <c r="R46" s="1"/>
    </row>
    <row r="47" spans="1:18" ht="15.75" customHeight="1">
      <c r="A47" s="1"/>
      <c r="B47" s="12"/>
      <c r="C47" s="12"/>
      <c r="D47" s="4"/>
      <c r="E47" s="4"/>
      <c r="F47" s="1"/>
      <c r="G47" s="1"/>
      <c r="H47" s="1"/>
      <c r="I47" s="1"/>
      <c r="J47" s="1"/>
      <c r="K47" s="91"/>
      <c r="L47" s="91"/>
      <c r="M47" s="1"/>
      <c r="N47" s="1"/>
      <c r="O47" s="1"/>
      <c r="P47" s="1"/>
      <c r="Q47" s="1"/>
      <c r="R47" s="1"/>
    </row>
    <row r="48" spans="1:18" ht="15.75" customHeight="1">
      <c r="A48" s="1"/>
      <c r="B48" s="12"/>
      <c r="C48" s="12"/>
      <c r="D48" s="4"/>
      <c r="E48" s="4"/>
      <c r="F48" s="1"/>
      <c r="G48" s="1"/>
      <c r="H48" s="1"/>
      <c r="I48" s="1"/>
      <c r="J48" s="1"/>
      <c r="K48" s="91"/>
      <c r="L48" s="91"/>
      <c r="M48" s="1"/>
      <c r="N48" s="1"/>
      <c r="O48" s="1"/>
      <c r="P48" s="1"/>
      <c r="Q48" s="1"/>
      <c r="R48" s="1"/>
    </row>
    <row r="49" spans="1:18" ht="15.75" customHeight="1">
      <c r="A49" s="1"/>
      <c r="B49" s="12"/>
      <c r="C49" s="12"/>
      <c r="D49" s="4"/>
      <c r="E49" s="4"/>
      <c r="F49" s="1"/>
      <c r="G49" s="1"/>
      <c r="H49" s="1"/>
      <c r="I49" s="1"/>
      <c r="J49" s="1"/>
      <c r="K49" s="91"/>
      <c r="L49" s="91"/>
      <c r="M49" s="1"/>
      <c r="N49" s="1"/>
      <c r="O49" s="1"/>
      <c r="P49" s="1"/>
      <c r="Q49" s="1"/>
      <c r="R49" s="1"/>
    </row>
    <row r="50" spans="1:18" ht="15.75" customHeight="1">
      <c r="A50" s="1"/>
      <c r="B50" s="12"/>
      <c r="C50" s="12"/>
      <c r="D50" s="4"/>
      <c r="E50" s="4"/>
      <c r="F50" s="1"/>
      <c r="G50" s="1"/>
      <c r="H50" s="1"/>
      <c r="I50" s="1"/>
      <c r="J50" s="1"/>
      <c r="K50" s="91"/>
      <c r="L50" s="91"/>
      <c r="M50" s="1"/>
      <c r="N50" s="1"/>
      <c r="O50" s="1"/>
      <c r="P50" s="1"/>
      <c r="Q50" s="1"/>
      <c r="R50" s="1"/>
    </row>
    <row r="51" spans="1:18" ht="15.75" customHeight="1">
      <c r="A51" s="1"/>
      <c r="B51" s="12"/>
      <c r="C51" s="12"/>
      <c r="D51" s="4"/>
      <c r="E51" s="4"/>
      <c r="F51" s="1"/>
      <c r="G51" s="1"/>
      <c r="H51" s="1"/>
      <c r="I51" s="1"/>
      <c r="J51" s="1"/>
      <c r="K51" s="91"/>
      <c r="L51" s="91"/>
      <c r="M51" s="1"/>
      <c r="N51" s="1"/>
      <c r="O51" s="1"/>
      <c r="P51" s="1"/>
      <c r="Q51" s="1"/>
      <c r="R51" s="1"/>
    </row>
    <row r="52" spans="1:18" ht="15.75" customHeight="1">
      <c r="A52" s="1"/>
      <c r="B52" s="12"/>
      <c r="C52" s="12"/>
      <c r="D52" s="4"/>
      <c r="E52" s="4"/>
      <c r="F52" s="1"/>
      <c r="G52" s="1"/>
      <c r="H52" s="1"/>
      <c r="I52" s="1"/>
      <c r="J52" s="1"/>
      <c r="K52" s="91"/>
      <c r="L52" s="91"/>
      <c r="M52" s="1"/>
      <c r="N52" s="1"/>
      <c r="O52" s="1"/>
      <c r="P52" s="1"/>
      <c r="Q52" s="1"/>
      <c r="R52" s="1"/>
    </row>
    <row r="53" spans="1:18" ht="15.75" customHeight="1">
      <c r="A53" s="1"/>
      <c r="B53" s="12"/>
      <c r="C53" s="12"/>
      <c r="D53" s="4"/>
      <c r="E53" s="4"/>
      <c r="F53" s="1"/>
      <c r="G53" s="1"/>
      <c r="H53" s="1"/>
      <c r="I53" s="1"/>
      <c r="J53" s="1"/>
      <c r="K53" s="91"/>
      <c r="L53" s="91"/>
      <c r="M53" s="1"/>
      <c r="N53" s="1"/>
      <c r="O53" s="1"/>
      <c r="P53" s="1"/>
      <c r="Q53" s="1"/>
      <c r="R53" s="1"/>
    </row>
    <row r="54" spans="1:18" ht="15.75" customHeight="1">
      <c r="A54" s="1"/>
      <c r="B54" s="12"/>
      <c r="C54" s="12"/>
      <c r="D54" s="4"/>
      <c r="E54" s="4"/>
      <c r="F54" s="1"/>
      <c r="G54" s="1"/>
      <c r="H54" s="1"/>
      <c r="I54" s="1"/>
      <c r="J54" s="1"/>
      <c r="K54" s="91"/>
      <c r="L54" s="91"/>
      <c r="M54" s="1"/>
      <c r="N54" s="1"/>
      <c r="O54" s="1"/>
      <c r="P54" s="1"/>
      <c r="Q54" s="1"/>
      <c r="R54" s="1"/>
    </row>
    <row r="55" spans="1:18" ht="15.75" customHeight="1">
      <c r="A55" s="1"/>
      <c r="B55" s="12"/>
      <c r="C55" s="12"/>
      <c r="D55" s="4"/>
      <c r="E55" s="4"/>
      <c r="F55" s="1"/>
      <c r="G55" s="1"/>
      <c r="H55" s="1"/>
      <c r="I55" s="1"/>
      <c r="J55" s="1"/>
      <c r="K55" s="91"/>
      <c r="L55" s="91"/>
      <c r="M55" s="1"/>
      <c r="N55" s="1"/>
      <c r="O55" s="1"/>
      <c r="P55" s="1"/>
      <c r="Q55" s="1"/>
      <c r="R55" s="1"/>
    </row>
    <row r="56" spans="1:18" ht="15.75" customHeight="1">
      <c r="A56" s="1"/>
      <c r="B56" s="12"/>
      <c r="C56" s="12"/>
      <c r="D56" s="4"/>
      <c r="E56" s="4"/>
      <c r="F56" s="1"/>
      <c r="G56" s="1"/>
      <c r="H56" s="1"/>
      <c r="I56" s="1"/>
      <c r="J56" s="1"/>
      <c r="K56" s="91"/>
      <c r="L56" s="91"/>
      <c r="M56" s="1"/>
      <c r="N56" s="1"/>
      <c r="O56" s="1"/>
      <c r="P56" s="1"/>
      <c r="Q56" s="1"/>
      <c r="R56" s="1"/>
    </row>
    <row r="57" spans="1:18" ht="15.75" customHeight="1">
      <c r="A57" s="1"/>
      <c r="B57" s="12"/>
      <c r="C57" s="12"/>
      <c r="D57" s="4"/>
      <c r="E57" s="4"/>
      <c r="F57" s="1"/>
      <c r="G57" s="1"/>
      <c r="H57" s="1"/>
      <c r="I57" s="1"/>
      <c r="J57" s="1"/>
      <c r="K57" s="91"/>
      <c r="L57" s="91"/>
      <c r="M57" s="1"/>
      <c r="N57" s="1"/>
      <c r="O57" s="1"/>
      <c r="P57" s="1"/>
      <c r="Q57" s="1"/>
      <c r="R57" s="1"/>
    </row>
    <row r="58" spans="1:18" ht="15.75" customHeight="1">
      <c r="A58" s="1"/>
      <c r="B58" s="12"/>
      <c r="C58" s="12"/>
      <c r="D58" s="4"/>
      <c r="E58" s="4"/>
      <c r="F58" s="1"/>
      <c r="G58" s="1"/>
      <c r="H58" s="1"/>
      <c r="I58" s="1"/>
      <c r="J58" s="1"/>
      <c r="K58" s="91"/>
      <c r="L58" s="91"/>
      <c r="M58" s="1"/>
      <c r="N58" s="1"/>
      <c r="O58" s="1"/>
      <c r="P58" s="1"/>
      <c r="Q58" s="1"/>
      <c r="R58" s="1"/>
    </row>
    <row r="59" spans="1:18" ht="15.75" customHeight="1">
      <c r="A59" s="1"/>
      <c r="B59" s="12"/>
      <c r="C59" s="12"/>
      <c r="D59" s="4"/>
      <c r="E59" s="4"/>
      <c r="F59" s="1"/>
      <c r="G59" s="1"/>
      <c r="H59" s="1"/>
      <c r="I59" s="1"/>
      <c r="J59" s="1"/>
      <c r="K59" s="91"/>
      <c r="L59" s="91"/>
      <c r="M59" s="1"/>
      <c r="N59" s="1"/>
      <c r="O59" s="1"/>
      <c r="P59" s="1"/>
      <c r="Q59" s="1"/>
      <c r="R59" s="1"/>
    </row>
    <row r="60" spans="1:18" ht="15.75" customHeight="1">
      <c r="A60" s="1"/>
      <c r="B60" s="12"/>
      <c r="C60" s="12"/>
      <c r="D60" s="4"/>
      <c r="E60" s="4"/>
      <c r="F60" s="1"/>
      <c r="G60" s="1"/>
      <c r="H60" s="1"/>
      <c r="I60" s="1"/>
      <c r="J60" s="1"/>
      <c r="K60" s="91"/>
      <c r="L60" s="91"/>
      <c r="M60" s="1"/>
      <c r="N60" s="1"/>
      <c r="O60" s="1"/>
      <c r="P60" s="1"/>
      <c r="Q60" s="1"/>
      <c r="R60" s="1"/>
    </row>
    <row r="61" spans="1:18" ht="15.75" customHeight="1">
      <c r="A61" s="1"/>
      <c r="B61" s="12"/>
      <c r="C61" s="12"/>
      <c r="D61" s="4"/>
      <c r="E61" s="4"/>
      <c r="F61" s="1"/>
      <c r="G61" s="1"/>
      <c r="H61" s="1"/>
      <c r="I61" s="1"/>
      <c r="J61" s="1"/>
      <c r="K61" s="91"/>
      <c r="L61" s="91"/>
      <c r="M61" s="1"/>
      <c r="N61" s="1"/>
      <c r="O61" s="1"/>
      <c r="P61" s="1"/>
      <c r="Q61" s="1"/>
      <c r="R61" s="1"/>
    </row>
    <row r="62" spans="1:18" ht="15.75" customHeight="1">
      <c r="A62" s="1"/>
      <c r="B62" s="12"/>
      <c r="C62" s="12"/>
      <c r="D62" s="4"/>
      <c r="E62" s="4"/>
      <c r="F62" s="1"/>
      <c r="G62" s="1"/>
      <c r="H62" s="1"/>
      <c r="I62" s="1"/>
      <c r="J62" s="1"/>
      <c r="K62" s="91"/>
      <c r="L62" s="91"/>
      <c r="M62" s="1"/>
      <c r="N62" s="1"/>
      <c r="O62" s="1"/>
      <c r="P62" s="1"/>
      <c r="Q62" s="1"/>
      <c r="R62" s="1"/>
    </row>
    <row r="63" spans="1:18" ht="15.75" customHeight="1">
      <c r="A63" s="1"/>
      <c r="B63" s="12"/>
      <c r="C63" s="12"/>
      <c r="D63" s="4"/>
      <c r="E63" s="4"/>
      <c r="F63" s="1"/>
      <c r="G63" s="1"/>
      <c r="H63" s="1"/>
      <c r="I63" s="1"/>
      <c r="J63" s="1"/>
      <c r="K63" s="91"/>
      <c r="L63" s="91"/>
      <c r="M63" s="1"/>
      <c r="N63" s="1"/>
      <c r="O63" s="1"/>
      <c r="P63" s="1"/>
      <c r="Q63" s="1"/>
      <c r="R63" s="1"/>
    </row>
    <row r="64" spans="1:18" ht="15.75" customHeight="1">
      <c r="A64" s="1"/>
      <c r="B64" s="12"/>
      <c r="C64" s="12"/>
      <c r="D64" s="4"/>
      <c r="E64" s="4"/>
      <c r="F64" s="1"/>
      <c r="G64" s="1"/>
      <c r="H64" s="1"/>
      <c r="I64" s="1"/>
      <c r="J64" s="1"/>
      <c r="K64" s="91"/>
      <c r="L64" s="91"/>
      <c r="M64" s="1"/>
      <c r="N64" s="1"/>
      <c r="O64" s="1"/>
      <c r="P64" s="1"/>
      <c r="Q64" s="1"/>
      <c r="R64" s="1"/>
    </row>
    <row r="65" spans="1:18" ht="15.75" customHeight="1">
      <c r="A65" s="1"/>
      <c r="B65" s="12"/>
      <c r="C65" s="12"/>
      <c r="D65" s="4"/>
      <c r="E65" s="4"/>
      <c r="F65" s="1"/>
      <c r="G65" s="1"/>
      <c r="H65" s="1"/>
      <c r="I65" s="1"/>
      <c r="J65" s="1"/>
      <c r="K65" s="91"/>
      <c r="L65" s="91"/>
      <c r="M65" s="1"/>
      <c r="N65" s="1"/>
      <c r="O65" s="1"/>
      <c r="P65" s="1"/>
      <c r="Q65" s="1"/>
      <c r="R65" s="1"/>
    </row>
    <row r="66" spans="1:18" ht="15.75" customHeight="1">
      <c r="A66" s="1"/>
      <c r="B66" s="12"/>
      <c r="C66" s="12"/>
      <c r="D66" s="4"/>
      <c r="E66" s="4"/>
      <c r="F66" s="1"/>
      <c r="G66" s="1"/>
      <c r="H66" s="1"/>
      <c r="I66" s="1"/>
      <c r="J66" s="1"/>
      <c r="K66" s="91"/>
      <c r="L66" s="91"/>
      <c r="M66" s="1"/>
      <c r="N66" s="1"/>
      <c r="O66" s="1"/>
      <c r="P66" s="1"/>
      <c r="Q66" s="1"/>
      <c r="R66" s="1"/>
    </row>
    <row r="67" spans="1:18" ht="15.75" customHeight="1">
      <c r="A67" s="1"/>
      <c r="B67" s="12"/>
      <c r="C67" s="12"/>
      <c r="D67" s="4"/>
      <c r="E67" s="4"/>
      <c r="F67" s="1"/>
      <c r="G67" s="1"/>
      <c r="H67" s="1"/>
      <c r="I67" s="1"/>
      <c r="J67" s="1"/>
      <c r="K67" s="91"/>
      <c r="L67" s="91"/>
      <c r="M67" s="1"/>
      <c r="N67" s="1"/>
      <c r="O67" s="1"/>
      <c r="P67" s="1"/>
      <c r="Q67" s="1"/>
      <c r="R67" s="1"/>
    </row>
    <row r="68" spans="1:18" ht="15.75" customHeight="1">
      <c r="A68" s="1"/>
      <c r="B68" s="12"/>
      <c r="C68" s="12"/>
      <c r="D68" s="4"/>
      <c r="E68" s="4"/>
      <c r="F68" s="1"/>
      <c r="G68" s="1"/>
      <c r="H68" s="1"/>
      <c r="I68" s="1"/>
      <c r="J68" s="1"/>
      <c r="K68" s="91"/>
      <c r="L68" s="91"/>
      <c r="M68" s="1"/>
      <c r="N68" s="1"/>
      <c r="O68" s="1"/>
      <c r="P68" s="1"/>
      <c r="Q68" s="1"/>
      <c r="R68" s="1"/>
    </row>
    <row r="69" spans="1:18" ht="15.75" customHeight="1">
      <c r="A69" s="1"/>
      <c r="B69" s="12"/>
      <c r="C69" s="12"/>
      <c r="D69" s="4"/>
      <c r="E69" s="4"/>
      <c r="F69" s="1"/>
      <c r="G69" s="1"/>
      <c r="H69" s="1"/>
      <c r="I69" s="1"/>
      <c r="J69" s="1"/>
      <c r="K69" s="91"/>
      <c r="L69" s="91"/>
      <c r="M69" s="1"/>
      <c r="N69" s="1"/>
      <c r="O69" s="1"/>
      <c r="P69" s="1"/>
      <c r="Q69" s="1"/>
      <c r="R69" s="1"/>
    </row>
    <row r="70" spans="1:18" ht="15.75" customHeight="1">
      <c r="A70" s="1"/>
      <c r="B70" s="12"/>
      <c r="C70" s="12"/>
      <c r="D70" s="4"/>
      <c r="E70" s="4"/>
      <c r="F70" s="1"/>
      <c r="G70" s="1"/>
      <c r="H70" s="1"/>
      <c r="I70" s="1"/>
      <c r="J70" s="1"/>
      <c r="K70" s="91"/>
      <c r="L70" s="91"/>
      <c r="M70" s="1"/>
      <c r="N70" s="1"/>
      <c r="O70" s="1"/>
      <c r="P70" s="1"/>
      <c r="Q70" s="1"/>
      <c r="R70" s="1"/>
    </row>
    <row r="71" spans="1:18" ht="15.75" customHeight="1">
      <c r="A71" s="1"/>
      <c r="B71" s="12"/>
      <c r="C71" s="12"/>
      <c r="D71" s="4"/>
      <c r="E71" s="4"/>
      <c r="F71" s="1"/>
      <c r="G71" s="1"/>
      <c r="H71" s="1"/>
      <c r="I71" s="1"/>
      <c r="J71" s="1"/>
      <c r="K71" s="91"/>
      <c r="L71" s="91"/>
      <c r="M71" s="1"/>
      <c r="N71" s="1"/>
      <c r="O71" s="1"/>
      <c r="P71" s="1"/>
      <c r="Q71" s="1"/>
      <c r="R71" s="1"/>
    </row>
    <row r="72" spans="1:18" ht="15.75" customHeight="1">
      <c r="A72" s="1"/>
      <c r="B72" s="12"/>
      <c r="C72" s="12"/>
      <c r="D72" s="4"/>
      <c r="E72" s="4"/>
      <c r="F72" s="1"/>
      <c r="G72" s="1"/>
      <c r="H72" s="1"/>
      <c r="I72" s="1"/>
      <c r="J72" s="1"/>
      <c r="K72" s="91"/>
      <c r="L72" s="91"/>
      <c r="M72" s="1"/>
      <c r="N72" s="1"/>
      <c r="O72" s="1"/>
      <c r="P72" s="1"/>
      <c r="Q72" s="1"/>
      <c r="R72" s="1"/>
    </row>
    <row r="73" spans="1:18" ht="15.75" customHeight="1">
      <c r="A73" s="1"/>
      <c r="B73" s="12"/>
      <c r="C73" s="12"/>
      <c r="D73" s="4"/>
      <c r="E73" s="4"/>
      <c r="F73" s="1"/>
      <c r="G73" s="1"/>
      <c r="H73" s="1"/>
      <c r="I73" s="1"/>
      <c r="J73" s="1"/>
      <c r="K73" s="91"/>
      <c r="L73" s="91"/>
      <c r="M73" s="1"/>
      <c r="N73" s="1"/>
      <c r="O73" s="1"/>
      <c r="P73" s="1"/>
      <c r="Q73" s="1"/>
      <c r="R73" s="1"/>
    </row>
    <row r="74" spans="1:18" ht="15.75" customHeight="1">
      <c r="A74" s="1"/>
      <c r="B74" s="12"/>
      <c r="C74" s="12"/>
      <c r="D74" s="4"/>
      <c r="E74" s="4"/>
      <c r="F74" s="1"/>
      <c r="G74" s="1"/>
      <c r="H74" s="1"/>
      <c r="I74" s="1"/>
      <c r="J74" s="1"/>
      <c r="K74" s="91"/>
      <c r="L74" s="91"/>
      <c r="M74" s="1"/>
      <c r="N74" s="1"/>
      <c r="O74" s="1"/>
      <c r="P74" s="1"/>
      <c r="Q74" s="1"/>
      <c r="R74" s="1"/>
    </row>
    <row r="75" spans="1:18" ht="15.75" customHeight="1">
      <c r="A75" s="1"/>
      <c r="B75" s="12"/>
      <c r="C75" s="12"/>
      <c r="D75" s="4"/>
      <c r="E75" s="4"/>
      <c r="F75" s="1"/>
      <c r="G75" s="1"/>
      <c r="H75" s="1"/>
      <c r="I75" s="1"/>
      <c r="J75" s="1"/>
      <c r="K75" s="91"/>
      <c r="L75" s="91"/>
      <c r="M75" s="1"/>
      <c r="N75" s="1"/>
      <c r="O75" s="1"/>
      <c r="P75" s="1"/>
      <c r="Q75" s="1"/>
      <c r="R75" s="1"/>
    </row>
    <row r="76" spans="1:18" ht="15.75" customHeight="1">
      <c r="A76" s="1"/>
      <c r="B76" s="12"/>
      <c r="C76" s="12"/>
      <c r="D76" s="4"/>
      <c r="E76" s="4"/>
      <c r="F76" s="1"/>
      <c r="G76" s="1"/>
      <c r="H76" s="1"/>
      <c r="I76" s="1"/>
      <c r="J76" s="1"/>
      <c r="K76" s="91"/>
      <c r="L76" s="91"/>
      <c r="M76" s="1"/>
      <c r="N76" s="1"/>
      <c r="O76" s="1"/>
      <c r="P76" s="1"/>
      <c r="Q76" s="1"/>
      <c r="R76" s="1"/>
    </row>
    <row r="77" spans="1:18" ht="15.75" customHeight="1">
      <c r="A77" s="1"/>
      <c r="B77" s="12"/>
      <c r="C77" s="12"/>
      <c r="D77" s="4"/>
      <c r="E77" s="4"/>
      <c r="F77" s="1"/>
      <c r="G77" s="1"/>
      <c r="H77" s="1"/>
      <c r="I77" s="1"/>
      <c r="J77" s="1"/>
      <c r="K77" s="91"/>
      <c r="L77" s="91"/>
      <c r="M77" s="1"/>
      <c r="N77" s="1"/>
      <c r="O77" s="1"/>
      <c r="P77" s="1"/>
      <c r="Q77" s="1"/>
      <c r="R77" s="1"/>
    </row>
    <row r="78" spans="1:18" ht="15.75" customHeight="1">
      <c r="A78" s="1"/>
      <c r="B78" s="12"/>
      <c r="C78" s="12"/>
      <c r="D78" s="4"/>
      <c r="E78" s="4"/>
      <c r="F78" s="1"/>
      <c r="G78" s="1"/>
      <c r="H78" s="1"/>
      <c r="I78" s="1"/>
      <c r="J78" s="1"/>
      <c r="K78" s="91"/>
      <c r="L78" s="91"/>
      <c r="M78" s="1"/>
      <c r="N78" s="1"/>
      <c r="O78" s="1"/>
      <c r="P78" s="1"/>
      <c r="Q78" s="1"/>
      <c r="R78" s="1"/>
    </row>
    <row r="79" spans="1:18" ht="15.75" customHeight="1">
      <c r="A79" s="1"/>
      <c r="B79" s="12"/>
      <c r="C79" s="12"/>
      <c r="D79" s="4"/>
      <c r="E79" s="4"/>
      <c r="F79" s="1"/>
      <c r="G79" s="1"/>
      <c r="H79" s="1"/>
      <c r="I79" s="1"/>
      <c r="J79" s="1"/>
      <c r="K79" s="91"/>
      <c r="L79" s="91"/>
      <c r="M79" s="1"/>
      <c r="N79" s="1"/>
      <c r="O79" s="1"/>
      <c r="P79" s="1"/>
      <c r="Q79" s="1"/>
      <c r="R79" s="1"/>
    </row>
    <row r="80" spans="1:18" ht="15.75" customHeight="1">
      <c r="A80" s="1"/>
      <c r="B80" s="12"/>
      <c r="C80" s="12"/>
      <c r="D80" s="4"/>
      <c r="E80" s="4"/>
      <c r="F80" s="1"/>
      <c r="G80" s="1"/>
      <c r="H80" s="1"/>
      <c r="I80" s="1"/>
      <c r="J80" s="1"/>
      <c r="K80" s="91"/>
      <c r="L80" s="91"/>
      <c r="M80" s="1"/>
      <c r="N80" s="1"/>
      <c r="O80" s="1"/>
      <c r="P80" s="1"/>
      <c r="Q80" s="1"/>
      <c r="R80" s="1"/>
    </row>
    <row r="81" spans="1:18" ht="15.75" customHeight="1">
      <c r="A81" s="1"/>
      <c r="B81" s="12"/>
      <c r="C81" s="12"/>
      <c r="D81" s="4"/>
      <c r="E81" s="4"/>
      <c r="F81" s="1"/>
      <c r="G81" s="1"/>
      <c r="H81" s="1"/>
      <c r="I81" s="1"/>
      <c r="J81" s="1"/>
      <c r="K81" s="91"/>
      <c r="L81" s="91"/>
      <c r="M81" s="1"/>
      <c r="N81" s="1"/>
      <c r="O81" s="1"/>
      <c r="P81" s="1"/>
      <c r="Q81" s="1"/>
      <c r="R81" s="1"/>
    </row>
    <row r="82" spans="1:18" ht="15.75" customHeight="1">
      <c r="A82" s="1"/>
      <c r="B82" s="12"/>
      <c r="C82" s="12"/>
      <c r="D82" s="4"/>
      <c r="E82" s="4"/>
      <c r="F82" s="1"/>
      <c r="G82" s="1"/>
      <c r="H82" s="1"/>
      <c r="I82" s="1"/>
      <c r="J82" s="1"/>
      <c r="K82" s="91"/>
      <c r="L82" s="91"/>
      <c r="M82" s="1"/>
      <c r="N82" s="1"/>
      <c r="O82" s="1"/>
      <c r="P82" s="1"/>
      <c r="Q82" s="1"/>
      <c r="R82" s="1"/>
    </row>
    <row r="83" spans="1:18" ht="15.75" customHeight="1">
      <c r="A83" s="1"/>
      <c r="B83" s="12"/>
      <c r="C83" s="12"/>
      <c r="D83" s="4"/>
      <c r="E83" s="4"/>
      <c r="F83" s="1"/>
      <c r="G83" s="1"/>
      <c r="H83" s="1"/>
      <c r="I83" s="1"/>
      <c r="J83" s="1"/>
      <c r="K83" s="91"/>
      <c r="L83" s="91"/>
      <c r="M83" s="1"/>
      <c r="N83" s="1"/>
      <c r="O83" s="1"/>
      <c r="P83" s="1"/>
      <c r="Q83" s="1"/>
      <c r="R83" s="1"/>
    </row>
    <row r="84" spans="1:18" ht="15.75" customHeight="1">
      <c r="A84" s="1"/>
      <c r="B84" s="12"/>
      <c r="C84" s="12"/>
      <c r="D84" s="4"/>
      <c r="E84" s="4"/>
      <c r="F84" s="1"/>
      <c r="G84" s="1"/>
      <c r="H84" s="1"/>
      <c r="I84" s="1"/>
      <c r="J84" s="1"/>
      <c r="K84" s="91"/>
      <c r="L84" s="91"/>
      <c r="M84" s="1"/>
      <c r="N84" s="1"/>
      <c r="O84" s="1"/>
      <c r="P84" s="1"/>
      <c r="Q84" s="1"/>
      <c r="R84" s="1"/>
    </row>
    <row r="85" spans="1:18" ht="15.75" customHeight="1">
      <c r="A85" s="1"/>
      <c r="B85" s="12"/>
      <c r="C85" s="12"/>
      <c r="D85" s="4"/>
      <c r="E85" s="4"/>
      <c r="F85" s="1"/>
      <c r="G85" s="1"/>
      <c r="H85" s="1"/>
      <c r="I85" s="1"/>
      <c r="J85" s="1"/>
      <c r="K85" s="91"/>
      <c r="L85" s="91"/>
      <c r="M85" s="1"/>
      <c r="N85" s="1"/>
      <c r="O85" s="1"/>
      <c r="P85" s="1"/>
      <c r="Q85" s="1"/>
      <c r="R85" s="1"/>
    </row>
    <row r="86" spans="1:18" ht="15.75" customHeight="1">
      <c r="A86" s="1"/>
      <c r="B86" s="12"/>
      <c r="C86" s="12"/>
      <c r="D86" s="4"/>
      <c r="E86" s="4"/>
      <c r="F86" s="1"/>
      <c r="G86" s="1"/>
      <c r="H86" s="1"/>
      <c r="I86" s="1"/>
      <c r="J86" s="1"/>
      <c r="K86" s="91"/>
      <c r="L86" s="91"/>
      <c r="M86" s="1"/>
      <c r="N86" s="1"/>
      <c r="O86" s="1"/>
      <c r="P86" s="1"/>
      <c r="Q86" s="1"/>
      <c r="R86" s="1"/>
    </row>
    <row r="87" spans="1:18" ht="15.75" customHeight="1">
      <c r="A87" s="1"/>
      <c r="B87" s="12"/>
      <c r="C87" s="12"/>
      <c r="D87" s="4"/>
      <c r="E87" s="4"/>
      <c r="F87" s="1"/>
      <c r="G87" s="1"/>
      <c r="H87" s="1"/>
      <c r="I87" s="1"/>
      <c r="J87" s="1"/>
      <c r="K87" s="91"/>
      <c r="L87" s="91"/>
      <c r="M87" s="1"/>
      <c r="N87" s="1"/>
      <c r="O87" s="1"/>
      <c r="P87" s="1"/>
      <c r="Q87" s="1"/>
      <c r="R87" s="1"/>
    </row>
    <row r="88" spans="1:18" ht="15.75" customHeight="1">
      <c r="A88" s="1"/>
      <c r="B88" s="12"/>
      <c r="C88" s="12"/>
      <c r="D88" s="4"/>
      <c r="E88" s="4"/>
      <c r="F88" s="1"/>
      <c r="G88" s="1"/>
      <c r="H88" s="1"/>
      <c r="I88" s="1"/>
      <c r="J88" s="1"/>
      <c r="K88" s="91"/>
      <c r="L88" s="91"/>
      <c r="M88" s="1"/>
      <c r="N88" s="1"/>
      <c r="O88" s="1"/>
      <c r="P88" s="1"/>
      <c r="Q88" s="1"/>
      <c r="R88" s="1"/>
    </row>
    <row r="89" spans="1:18" ht="15.75" customHeight="1">
      <c r="A89" s="1"/>
      <c r="B89" s="12"/>
      <c r="C89" s="12"/>
      <c r="D89" s="4"/>
      <c r="E89" s="4"/>
      <c r="F89" s="1"/>
      <c r="G89" s="1"/>
      <c r="H89" s="1"/>
      <c r="I89" s="1"/>
      <c r="J89" s="1"/>
      <c r="K89" s="91"/>
      <c r="L89" s="91"/>
      <c r="M89" s="1"/>
      <c r="N89" s="1"/>
      <c r="O89" s="1"/>
      <c r="P89" s="1"/>
      <c r="Q89" s="1"/>
      <c r="R89" s="1"/>
    </row>
    <row r="90" spans="1:18" ht="15.75" customHeight="1">
      <c r="A90" s="1"/>
      <c r="B90" s="12"/>
      <c r="C90" s="12"/>
      <c r="D90" s="4"/>
      <c r="E90" s="4"/>
      <c r="F90" s="1"/>
      <c r="G90" s="1"/>
      <c r="H90" s="1"/>
      <c r="I90" s="1"/>
      <c r="J90" s="1"/>
      <c r="K90" s="91"/>
      <c r="L90" s="91"/>
      <c r="M90" s="1"/>
      <c r="N90" s="1"/>
      <c r="O90" s="1"/>
      <c r="P90" s="1"/>
      <c r="Q90" s="1"/>
      <c r="R90" s="1"/>
    </row>
    <row r="91" spans="1:18" ht="15.75" customHeight="1">
      <c r="A91" s="1"/>
      <c r="B91" s="12"/>
      <c r="C91" s="12"/>
      <c r="D91" s="4"/>
      <c r="E91" s="4"/>
      <c r="F91" s="1"/>
      <c r="G91" s="1"/>
      <c r="H91" s="1"/>
      <c r="I91" s="1"/>
      <c r="J91" s="1"/>
      <c r="K91" s="91"/>
      <c r="L91" s="91"/>
      <c r="M91" s="1"/>
      <c r="N91" s="1"/>
      <c r="O91" s="1"/>
      <c r="P91" s="1"/>
      <c r="Q91" s="1"/>
      <c r="R91" s="1"/>
    </row>
    <row r="92" spans="1:18" ht="15.75" customHeight="1">
      <c r="A92" s="1"/>
      <c r="B92" s="12"/>
      <c r="C92" s="12"/>
      <c r="D92" s="4"/>
      <c r="E92" s="4"/>
      <c r="F92" s="1"/>
      <c r="G92" s="1"/>
      <c r="H92" s="1"/>
      <c r="I92" s="1"/>
      <c r="J92" s="1"/>
      <c r="K92" s="91"/>
      <c r="L92" s="91"/>
      <c r="M92" s="1"/>
      <c r="N92" s="1"/>
      <c r="O92" s="1"/>
      <c r="P92" s="1"/>
      <c r="Q92" s="1"/>
      <c r="R92" s="1"/>
    </row>
    <row r="93" spans="1:18" ht="15.75" customHeight="1">
      <c r="A93" s="1"/>
      <c r="B93" s="12"/>
      <c r="C93" s="12"/>
      <c r="D93" s="4"/>
      <c r="E93" s="4"/>
      <c r="F93" s="1"/>
      <c r="G93" s="1"/>
      <c r="H93" s="1"/>
      <c r="I93" s="1"/>
      <c r="J93" s="1"/>
      <c r="K93" s="91"/>
      <c r="L93" s="91"/>
      <c r="M93" s="1"/>
      <c r="N93" s="1"/>
      <c r="O93" s="1"/>
      <c r="P93" s="1"/>
      <c r="Q93" s="1"/>
      <c r="R93" s="1"/>
    </row>
    <row r="94" spans="1:18" ht="15.75" customHeight="1">
      <c r="A94" s="1"/>
      <c r="B94" s="12"/>
      <c r="C94" s="12"/>
      <c r="D94" s="4"/>
      <c r="E94" s="4"/>
      <c r="F94" s="1"/>
      <c r="G94" s="1"/>
      <c r="H94" s="1"/>
      <c r="I94" s="1"/>
      <c r="J94" s="1"/>
      <c r="K94" s="91"/>
      <c r="L94" s="91"/>
      <c r="M94" s="1"/>
      <c r="N94" s="1"/>
      <c r="O94" s="1"/>
      <c r="P94" s="1"/>
      <c r="Q94" s="1"/>
      <c r="R94" s="1"/>
    </row>
    <row r="95" spans="1:18" ht="15.75" customHeight="1">
      <c r="A95" s="1"/>
      <c r="B95" s="12"/>
      <c r="C95" s="12"/>
      <c r="D95" s="4"/>
      <c r="E95" s="4"/>
      <c r="F95" s="1"/>
      <c r="G95" s="1"/>
      <c r="H95" s="1"/>
      <c r="I95" s="1"/>
      <c r="J95" s="1"/>
      <c r="K95" s="91"/>
      <c r="L95" s="91"/>
      <c r="M95" s="1"/>
      <c r="N95" s="1"/>
      <c r="O95" s="1"/>
      <c r="P95" s="1"/>
      <c r="Q95" s="1"/>
      <c r="R95" s="1"/>
    </row>
    <row r="96" spans="1:18" ht="15.75" customHeight="1">
      <c r="A96" s="1"/>
      <c r="B96" s="12"/>
      <c r="C96" s="12"/>
      <c r="D96" s="4"/>
      <c r="E96" s="4"/>
      <c r="F96" s="1"/>
      <c r="G96" s="1"/>
      <c r="H96" s="1"/>
      <c r="I96" s="1"/>
      <c r="J96" s="1"/>
      <c r="K96" s="91"/>
      <c r="L96" s="91"/>
      <c r="M96" s="1"/>
      <c r="N96" s="1"/>
      <c r="O96" s="1"/>
      <c r="P96" s="1"/>
      <c r="Q96" s="1"/>
      <c r="R96" s="1"/>
    </row>
    <row r="97" spans="1:18" ht="15.75" customHeight="1">
      <c r="A97" s="1"/>
      <c r="B97" s="12"/>
      <c r="C97" s="12"/>
      <c r="D97" s="4"/>
      <c r="E97" s="4"/>
      <c r="F97" s="1"/>
      <c r="G97" s="1"/>
      <c r="H97" s="1"/>
      <c r="I97" s="1"/>
      <c r="J97" s="1"/>
      <c r="K97" s="91"/>
      <c r="L97" s="91"/>
      <c r="M97" s="1"/>
      <c r="N97" s="1"/>
      <c r="O97" s="1"/>
      <c r="P97" s="1"/>
      <c r="Q97" s="1"/>
      <c r="R97" s="1"/>
    </row>
    <row r="98" spans="1:18" ht="15.75" customHeight="1">
      <c r="A98" s="1"/>
      <c r="B98" s="12"/>
      <c r="C98" s="12"/>
      <c r="D98" s="4"/>
      <c r="E98" s="4"/>
      <c r="F98" s="1"/>
      <c r="G98" s="1"/>
      <c r="H98" s="1"/>
      <c r="I98" s="1"/>
      <c r="J98" s="1"/>
      <c r="K98" s="91"/>
      <c r="L98" s="91"/>
      <c r="M98" s="1"/>
      <c r="N98" s="1"/>
      <c r="O98" s="1"/>
      <c r="P98" s="1"/>
      <c r="Q98" s="1"/>
      <c r="R98" s="1"/>
    </row>
    <row r="99" spans="1:18" ht="15.75" customHeight="1">
      <c r="A99" s="1"/>
      <c r="B99" s="12"/>
      <c r="C99" s="12"/>
      <c r="D99" s="4"/>
      <c r="E99" s="4"/>
      <c r="F99" s="1"/>
      <c r="G99" s="1"/>
      <c r="H99" s="1"/>
      <c r="I99" s="1"/>
      <c r="J99" s="1"/>
      <c r="K99" s="91"/>
      <c r="L99" s="91"/>
      <c r="M99" s="1"/>
      <c r="N99" s="1"/>
      <c r="O99" s="1"/>
      <c r="P99" s="1"/>
      <c r="Q99" s="1"/>
      <c r="R99" s="1"/>
    </row>
    <row r="100" spans="1:18" ht="15.75" customHeight="1">
      <c r="A100" s="1"/>
      <c r="B100" s="12"/>
      <c r="C100" s="12"/>
      <c r="D100" s="4"/>
      <c r="E100" s="4"/>
      <c r="F100" s="1"/>
      <c r="G100" s="1"/>
      <c r="H100" s="1"/>
      <c r="I100" s="1"/>
      <c r="J100" s="1"/>
      <c r="K100" s="91"/>
      <c r="L100" s="91"/>
      <c r="M100" s="1"/>
      <c r="N100" s="1"/>
      <c r="O100" s="1"/>
      <c r="P100" s="1"/>
      <c r="Q100" s="1"/>
      <c r="R100" s="1"/>
    </row>
    <row r="101" spans="1:18" ht="15.75" customHeight="1">
      <c r="A101" s="1"/>
      <c r="B101" s="12"/>
      <c r="C101" s="12"/>
      <c r="D101" s="4"/>
      <c r="E101" s="4"/>
      <c r="F101" s="1"/>
      <c r="G101" s="1"/>
      <c r="H101" s="1"/>
      <c r="I101" s="1"/>
      <c r="J101" s="1"/>
      <c r="K101" s="91"/>
      <c r="L101" s="91"/>
      <c r="M101" s="1"/>
      <c r="N101" s="1"/>
      <c r="O101" s="1"/>
      <c r="P101" s="1"/>
      <c r="Q101" s="1"/>
      <c r="R101" s="1"/>
    </row>
    <row r="102" spans="1:18" ht="15.75" customHeight="1">
      <c r="A102" s="1"/>
      <c r="B102" s="12"/>
      <c r="C102" s="12"/>
      <c r="D102" s="4"/>
      <c r="E102" s="4"/>
      <c r="F102" s="1"/>
      <c r="G102" s="1"/>
      <c r="H102" s="1"/>
      <c r="I102" s="1"/>
      <c r="J102" s="1"/>
      <c r="K102" s="91"/>
      <c r="L102" s="91"/>
      <c r="M102" s="1"/>
      <c r="N102" s="1"/>
      <c r="O102" s="1"/>
      <c r="P102" s="1"/>
      <c r="Q102" s="1"/>
      <c r="R102" s="1"/>
    </row>
    <row r="103" spans="1:18" ht="15.75" customHeight="1">
      <c r="A103" s="1"/>
      <c r="B103" s="12"/>
      <c r="C103" s="12"/>
      <c r="D103" s="4"/>
      <c r="E103" s="4"/>
      <c r="F103" s="1"/>
      <c r="G103" s="1"/>
      <c r="H103" s="1"/>
      <c r="I103" s="1"/>
      <c r="J103" s="1"/>
      <c r="K103" s="91"/>
      <c r="L103" s="91"/>
      <c r="M103" s="1"/>
      <c r="N103" s="1"/>
      <c r="O103" s="1"/>
      <c r="P103" s="1"/>
      <c r="Q103" s="1"/>
      <c r="R103" s="1"/>
    </row>
    <row r="104" spans="1:18" ht="15.75" customHeight="1">
      <c r="A104" s="1"/>
      <c r="B104" s="12"/>
      <c r="C104" s="12"/>
      <c r="D104" s="4"/>
      <c r="E104" s="4"/>
      <c r="F104" s="1"/>
      <c r="G104" s="1"/>
      <c r="H104" s="1"/>
      <c r="I104" s="1"/>
      <c r="J104" s="1"/>
      <c r="K104" s="91"/>
      <c r="L104" s="91"/>
      <c r="M104" s="1"/>
      <c r="N104" s="1"/>
      <c r="O104" s="1"/>
      <c r="P104" s="1"/>
      <c r="Q104" s="1"/>
      <c r="R104" s="1"/>
    </row>
    <row r="105" spans="1:18" ht="15.75" customHeight="1">
      <c r="A105" s="1"/>
      <c r="B105" s="12"/>
      <c r="C105" s="12"/>
      <c r="D105" s="4"/>
      <c r="E105" s="4"/>
      <c r="F105" s="1"/>
      <c r="G105" s="1"/>
      <c r="H105" s="1"/>
      <c r="I105" s="1"/>
      <c r="J105" s="1"/>
      <c r="K105" s="91"/>
      <c r="L105" s="91"/>
      <c r="M105" s="1"/>
      <c r="N105" s="1"/>
      <c r="O105" s="1"/>
      <c r="P105" s="1"/>
      <c r="Q105" s="1"/>
      <c r="R105" s="1"/>
    </row>
    <row r="106" spans="1:18" ht="15.75" customHeight="1">
      <c r="A106" s="1"/>
      <c r="B106" s="12"/>
      <c r="C106" s="12"/>
      <c r="D106" s="4"/>
      <c r="E106" s="4"/>
      <c r="F106" s="1"/>
      <c r="G106" s="1"/>
      <c r="H106" s="1"/>
      <c r="I106" s="1"/>
      <c r="J106" s="1"/>
      <c r="K106" s="91"/>
      <c r="L106" s="91"/>
      <c r="M106" s="1"/>
      <c r="N106" s="1"/>
      <c r="O106" s="1"/>
      <c r="P106" s="1"/>
      <c r="Q106" s="1"/>
      <c r="R106" s="1"/>
    </row>
    <row r="107" spans="1:18" ht="15.75" customHeight="1">
      <c r="A107" s="1"/>
      <c r="B107" s="12"/>
      <c r="C107" s="12"/>
      <c r="D107" s="4"/>
      <c r="E107" s="4"/>
      <c r="F107" s="1"/>
      <c r="G107" s="1"/>
      <c r="H107" s="1"/>
      <c r="I107" s="1"/>
      <c r="J107" s="1"/>
      <c r="K107" s="91"/>
      <c r="L107" s="91"/>
      <c r="M107" s="1"/>
      <c r="N107" s="1"/>
      <c r="O107" s="1"/>
      <c r="P107" s="1"/>
      <c r="Q107" s="1"/>
      <c r="R107" s="1"/>
    </row>
    <row r="108" spans="1:18" ht="15.75" customHeight="1">
      <c r="A108" s="1"/>
      <c r="B108" s="12"/>
      <c r="C108" s="12"/>
      <c r="D108" s="4"/>
      <c r="E108" s="4"/>
      <c r="F108" s="1"/>
      <c r="G108" s="1"/>
      <c r="H108" s="1"/>
      <c r="I108" s="1"/>
      <c r="J108" s="1"/>
      <c r="K108" s="91"/>
      <c r="L108" s="91"/>
      <c r="M108" s="1"/>
      <c r="N108" s="1"/>
      <c r="O108" s="1"/>
      <c r="P108" s="1"/>
      <c r="Q108" s="1"/>
      <c r="R108" s="1"/>
    </row>
    <row r="109" spans="1:18" ht="15.75" customHeight="1">
      <c r="A109" s="1"/>
      <c r="B109" s="12"/>
      <c r="C109" s="12"/>
      <c r="D109" s="4"/>
      <c r="E109" s="4"/>
      <c r="F109" s="1"/>
      <c r="G109" s="1"/>
      <c r="H109" s="1"/>
      <c r="I109" s="1"/>
      <c r="J109" s="1"/>
      <c r="K109" s="91"/>
      <c r="L109" s="91"/>
      <c r="M109" s="1"/>
      <c r="N109" s="1"/>
      <c r="O109" s="1"/>
      <c r="P109" s="1"/>
      <c r="Q109" s="1"/>
      <c r="R109" s="1"/>
    </row>
    <row r="110" spans="1:18" ht="15.75" customHeight="1">
      <c r="A110" s="1"/>
      <c r="B110" s="12"/>
      <c r="C110" s="12"/>
      <c r="D110" s="4"/>
      <c r="E110" s="4"/>
      <c r="F110" s="1"/>
      <c r="G110" s="1"/>
      <c r="H110" s="1"/>
      <c r="I110" s="1"/>
      <c r="J110" s="1"/>
      <c r="K110" s="91"/>
      <c r="L110" s="91"/>
      <c r="M110" s="1"/>
      <c r="N110" s="1"/>
      <c r="O110" s="1"/>
      <c r="P110" s="1"/>
      <c r="Q110" s="1"/>
      <c r="R110" s="1"/>
    </row>
    <row r="111" spans="1:18" ht="15.75" customHeight="1">
      <c r="A111" s="1"/>
      <c r="B111" s="12"/>
      <c r="C111" s="12"/>
      <c r="D111" s="4"/>
      <c r="E111" s="4"/>
      <c r="F111" s="1"/>
      <c r="G111" s="1"/>
      <c r="H111" s="1"/>
      <c r="I111" s="1"/>
      <c r="J111" s="1"/>
      <c r="K111" s="91"/>
      <c r="L111" s="91"/>
      <c r="M111" s="1"/>
      <c r="N111" s="1"/>
      <c r="O111" s="1"/>
      <c r="P111" s="1"/>
      <c r="Q111" s="1"/>
      <c r="R111" s="1"/>
    </row>
    <row r="112" spans="1:18" ht="15.75" customHeight="1">
      <c r="A112" s="1"/>
      <c r="B112" s="12"/>
      <c r="C112" s="12"/>
      <c r="D112" s="4"/>
      <c r="E112" s="4"/>
      <c r="F112" s="1"/>
      <c r="G112" s="1"/>
      <c r="H112" s="1"/>
      <c r="I112" s="1"/>
      <c r="J112" s="1"/>
      <c r="K112" s="91"/>
      <c r="L112" s="91"/>
      <c r="M112" s="1"/>
      <c r="N112" s="1"/>
      <c r="O112" s="1"/>
      <c r="P112" s="1"/>
      <c r="Q112" s="1"/>
      <c r="R112" s="1"/>
    </row>
    <row r="113" spans="1:18" ht="15.75" customHeight="1">
      <c r="A113" s="1"/>
      <c r="B113" s="12"/>
      <c r="C113" s="12"/>
      <c r="D113" s="4"/>
      <c r="E113" s="4"/>
      <c r="F113" s="1"/>
      <c r="G113" s="1"/>
      <c r="H113" s="1"/>
      <c r="I113" s="1"/>
      <c r="J113" s="1"/>
      <c r="K113" s="91"/>
      <c r="L113" s="91"/>
      <c r="M113" s="1"/>
      <c r="N113" s="1"/>
      <c r="O113" s="1"/>
      <c r="P113" s="1"/>
      <c r="Q113" s="1"/>
      <c r="R113" s="1"/>
    </row>
    <row r="114" spans="1:18" ht="15.75" customHeight="1">
      <c r="A114" s="1"/>
      <c r="B114" s="12"/>
      <c r="C114" s="12"/>
      <c r="D114" s="4"/>
      <c r="E114" s="4"/>
      <c r="F114" s="1"/>
      <c r="G114" s="1"/>
      <c r="H114" s="1"/>
      <c r="I114" s="1"/>
      <c r="J114" s="1"/>
      <c r="K114" s="91"/>
      <c r="L114" s="91"/>
      <c r="M114" s="1"/>
      <c r="N114" s="1"/>
      <c r="O114" s="1"/>
      <c r="P114" s="1"/>
      <c r="Q114" s="1"/>
      <c r="R114" s="1"/>
    </row>
    <row r="115" spans="1:18" ht="15.75" customHeight="1">
      <c r="A115" s="1"/>
      <c r="B115" s="12"/>
      <c r="C115" s="12"/>
      <c r="D115" s="4"/>
      <c r="E115" s="4"/>
      <c r="F115" s="1"/>
      <c r="G115" s="1"/>
      <c r="H115" s="1"/>
      <c r="I115" s="1"/>
      <c r="J115" s="1"/>
      <c r="K115" s="91"/>
      <c r="L115" s="91"/>
      <c r="M115" s="1"/>
      <c r="N115" s="1"/>
      <c r="O115" s="1"/>
      <c r="P115" s="1"/>
      <c r="Q115" s="1"/>
      <c r="R115" s="1"/>
    </row>
    <row r="116" spans="1:18" ht="15.75" customHeight="1">
      <c r="A116" s="1"/>
      <c r="B116" s="12"/>
      <c r="C116" s="12"/>
      <c r="D116" s="4"/>
      <c r="E116" s="4"/>
      <c r="F116" s="1"/>
      <c r="G116" s="1"/>
      <c r="H116" s="1"/>
      <c r="I116" s="1"/>
      <c r="J116" s="1"/>
      <c r="K116" s="91"/>
      <c r="L116" s="91"/>
      <c r="M116" s="1"/>
      <c r="N116" s="1"/>
      <c r="O116" s="1"/>
      <c r="P116" s="1"/>
      <c r="Q116" s="1"/>
      <c r="R116" s="1"/>
    </row>
    <row r="117" spans="1:18" ht="15.75" customHeight="1">
      <c r="A117" s="1"/>
      <c r="B117" s="12"/>
      <c r="C117" s="12"/>
      <c r="D117" s="4"/>
      <c r="E117" s="4"/>
      <c r="F117" s="1"/>
      <c r="G117" s="1"/>
      <c r="H117" s="1"/>
      <c r="I117" s="1"/>
      <c r="J117" s="1"/>
      <c r="K117" s="91"/>
      <c r="L117" s="91"/>
      <c r="M117" s="1"/>
      <c r="N117" s="1"/>
      <c r="O117" s="1"/>
      <c r="P117" s="1"/>
      <c r="Q117" s="1"/>
      <c r="R117" s="1"/>
    </row>
    <row r="118" spans="1:18" ht="15.75" customHeight="1">
      <c r="A118" s="1"/>
      <c r="B118" s="12"/>
      <c r="C118" s="12"/>
      <c r="D118" s="4"/>
      <c r="E118" s="4"/>
      <c r="F118" s="1"/>
      <c r="G118" s="1"/>
      <c r="H118" s="1"/>
      <c r="I118" s="1"/>
      <c r="J118" s="1"/>
      <c r="K118" s="91"/>
      <c r="L118" s="91"/>
      <c r="M118" s="1"/>
      <c r="N118" s="1"/>
      <c r="O118" s="1"/>
      <c r="P118" s="1"/>
      <c r="Q118" s="1"/>
      <c r="R118" s="1"/>
    </row>
    <row r="119" spans="1:18" ht="15.75" customHeight="1">
      <c r="A119" s="1"/>
      <c r="B119" s="12"/>
      <c r="C119" s="12"/>
      <c r="D119" s="4"/>
      <c r="E119" s="4"/>
      <c r="F119" s="1"/>
      <c r="G119" s="1"/>
      <c r="H119" s="1"/>
      <c r="I119" s="1"/>
      <c r="J119" s="1"/>
      <c r="K119" s="91"/>
      <c r="L119" s="91"/>
      <c r="M119" s="1"/>
      <c r="N119" s="1"/>
      <c r="O119" s="1"/>
      <c r="P119" s="1"/>
      <c r="Q119" s="1"/>
      <c r="R119" s="1"/>
    </row>
    <row r="120" spans="1:18" ht="15.75" customHeight="1">
      <c r="A120" s="1"/>
      <c r="B120" s="12"/>
      <c r="C120" s="12"/>
      <c r="D120" s="4"/>
      <c r="E120" s="4"/>
      <c r="F120" s="1"/>
      <c r="G120" s="1"/>
      <c r="H120" s="1"/>
      <c r="I120" s="1"/>
      <c r="J120" s="1"/>
      <c r="K120" s="91"/>
      <c r="L120" s="91"/>
      <c r="M120" s="1"/>
      <c r="N120" s="1"/>
      <c r="O120" s="1"/>
      <c r="P120" s="1"/>
      <c r="Q120" s="1"/>
      <c r="R120" s="1"/>
    </row>
    <row r="121" spans="1:18" ht="15.75" customHeight="1">
      <c r="A121" s="1"/>
      <c r="B121" s="12"/>
      <c r="C121" s="12"/>
      <c r="D121" s="4"/>
      <c r="E121" s="4"/>
      <c r="F121" s="1"/>
      <c r="G121" s="1"/>
      <c r="H121" s="1"/>
      <c r="I121" s="1"/>
      <c r="J121" s="1"/>
      <c r="K121" s="91"/>
      <c r="L121" s="91"/>
      <c r="M121" s="1"/>
      <c r="N121" s="1"/>
      <c r="O121" s="1"/>
      <c r="P121" s="1"/>
      <c r="Q121" s="1"/>
      <c r="R121" s="1"/>
    </row>
    <row r="122" spans="1:18" ht="15.75" customHeight="1">
      <c r="A122" s="1"/>
      <c r="B122" s="12"/>
      <c r="C122" s="12"/>
      <c r="D122" s="4"/>
      <c r="E122" s="4"/>
      <c r="F122" s="1"/>
      <c r="G122" s="1"/>
      <c r="H122" s="1"/>
      <c r="I122" s="1"/>
      <c r="J122" s="1"/>
      <c r="K122" s="91"/>
      <c r="L122" s="91"/>
      <c r="M122" s="1"/>
      <c r="N122" s="1"/>
      <c r="O122" s="1"/>
      <c r="P122" s="1"/>
      <c r="Q122" s="1"/>
      <c r="R122" s="1"/>
    </row>
    <row r="123" spans="1:18" ht="15.75" customHeight="1">
      <c r="A123" s="1"/>
      <c r="B123" s="12"/>
      <c r="C123" s="12"/>
      <c r="D123" s="4"/>
      <c r="E123" s="4"/>
      <c r="F123" s="1"/>
      <c r="G123" s="1"/>
      <c r="H123" s="1"/>
      <c r="I123" s="1"/>
      <c r="J123" s="1"/>
      <c r="K123" s="91"/>
      <c r="L123" s="91"/>
      <c r="M123" s="1"/>
      <c r="N123" s="1"/>
      <c r="O123" s="1"/>
      <c r="P123" s="1"/>
      <c r="Q123" s="1"/>
      <c r="R123" s="1"/>
    </row>
    <row r="124" spans="1:18" ht="15.75" customHeight="1">
      <c r="A124" s="1"/>
      <c r="B124" s="12"/>
      <c r="C124" s="12"/>
      <c r="D124" s="4"/>
      <c r="E124" s="4"/>
      <c r="F124" s="1"/>
      <c r="G124" s="1"/>
      <c r="H124" s="1"/>
      <c r="I124" s="1"/>
      <c r="J124" s="1"/>
      <c r="K124" s="91"/>
      <c r="L124" s="91"/>
      <c r="M124" s="1"/>
      <c r="N124" s="1"/>
      <c r="O124" s="1"/>
      <c r="P124" s="1"/>
      <c r="Q124" s="1"/>
      <c r="R124" s="1"/>
    </row>
    <row r="125" spans="1:18" ht="15.75" customHeight="1">
      <c r="A125" s="1"/>
      <c r="B125" s="12"/>
      <c r="C125" s="12"/>
      <c r="D125" s="4"/>
      <c r="E125" s="4"/>
      <c r="F125" s="1"/>
      <c r="G125" s="1"/>
      <c r="H125" s="1"/>
      <c r="I125" s="1"/>
      <c r="J125" s="1"/>
      <c r="K125" s="91"/>
      <c r="L125" s="91"/>
      <c r="M125" s="1"/>
      <c r="N125" s="1"/>
      <c r="O125" s="1"/>
      <c r="P125" s="1"/>
      <c r="Q125" s="1"/>
      <c r="R125" s="1"/>
    </row>
    <row r="126" spans="1:18" ht="15.75" customHeight="1">
      <c r="A126" s="1"/>
      <c r="B126" s="12"/>
      <c r="C126" s="12"/>
      <c r="D126" s="4"/>
      <c r="E126" s="4"/>
      <c r="F126" s="1"/>
      <c r="G126" s="1"/>
      <c r="H126" s="1"/>
      <c r="I126" s="1"/>
      <c r="J126" s="1"/>
      <c r="K126" s="91"/>
      <c r="L126" s="91"/>
      <c r="M126" s="1"/>
      <c r="N126" s="1"/>
      <c r="O126" s="1"/>
      <c r="P126" s="1"/>
      <c r="Q126" s="1"/>
      <c r="R126" s="1"/>
    </row>
    <row r="127" spans="1:18" ht="15.75" customHeight="1">
      <c r="A127" s="1"/>
      <c r="B127" s="12"/>
      <c r="C127" s="12"/>
      <c r="D127" s="4"/>
      <c r="E127" s="4"/>
      <c r="F127" s="1"/>
      <c r="G127" s="1"/>
      <c r="H127" s="1"/>
      <c r="I127" s="1"/>
      <c r="J127" s="1"/>
      <c r="K127" s="91"/>
      <c r="L127" s="91"/>
      <c r="M127" s="1"/>
      <c r="N127" s="1"/>
      <c r="O127" s="1"/>
      <c r="P127" s="1"/>
      <c r="Q127" s="1"/>
      <c r="R127" s="1"/>
    </row>
    <row r="128" spans="1:18" ht="15.75" customHeight="1">
      <c r="A128" s="1"/>
      <c r="B128" s="12"/>
      <c r="C128" s="12"/>
      <c r="D128" s="4"/>
      <c r="E128" s="4"/>
      <c r="F128" s="1"/>
      <c r="G128" s="1"/>
      <c r="H128" s="1"/>
      <c r="I128" s="1"/>
      <c r="J128" s="1"/>
      <c r="K128" s="91"/>
      <c r="L128" s="91"/>
      <c r="M128" s="1"/>
      <c r="N128" s="1"/>
      <c r="O128" s="1"/>
      <c r="P128" s="1"/>
      <c r="Q128" s="1"/>
      <c r="R128" s="1"/>
    </row>
    <row r="129" spans="1:18" ht="15.75" customHeight="1">
      <c r="A129" s="1"/>
      <c r="B129" s="12"/>
      <c r="C129" s="12"/>
      <c r="D129" s="4"/>
      <c r="E129" s="4"/>
      <c r="F129" s="1"/>
      <c r="G129" s="1"/>
      <c r="H129" s="1"/>
      <c r="I129" s="1"/>
      <c r="J129" s="1"/>
      <c r="K129" s="91"/>
      <c r="L129" s="91"/>
      <c r="M129" s="1"/>
      <c r="N129" s="1"/>
      <c r="O129" s="1"/>
      <c r="P129" s="1"/>
      <c r="Q129" s="1"/>
      <c r="R129" s="1"/>
    </row>
    <row r="130" spans="1:18" ht="15.75" customHeight="1">
      <c r="A130" s="1"/>
      <c r="B130" s="12"/>
      <c r="C130" s="12"/>
      <c r="D130" s="4"/>
      <c r="E130" s="4"/>
      <c r="F130" s="1"/>
      <c r="G130" s="1"/>
      <c r="H130" s="1"/>
      <c r="I130" s="1"/>
      <c r="J130" s="1"/>
      <c r="K130" s="91"/>
      <c r="L130" s="91"/>
      <c r="M130" s="1"/>
      <c r="N130" s="1"/>
      <c r="O130" s="1"/>
      <c r="P130" s="1"/>
      <c r="Q130" s="1"/>
      <c r="R130" s="1"/>
    </row>
    <row r="131" spans="1:18" ht="15.75" customHeight="1">
      <c r="A131" s="1"/>
      <c r="B131" s="12"/>
      <c r="C131" s="12"/>
      <c r="D131" s="4"/>
      <c r="E131" s="4"/>
      <c r="F131" s="1"/>
      <c r="G131" s="1"/>
      <c r="H131" s="1"/>
      <c r="I131" s="1"/>
      <c r="J131" s="1"/>
      <c r="K131" s="91"/>
      <c r="L131" s="91"/>
      <c r="M131" s="1"/>
      <c r="N131" s="1"/>
      <c r="O131" s="1"/>
      <c r="P131" s="1"/>
      <c r="Q131" s="1"/>
      <c r="R131" s="1"/>
    </row>
    <row r="132" spans="1:18" ht="15.75" customHeight="1">
      <c r="A132" s="1"/>
      <c r="B132" s="12"/>
      <c r="C132" s="12"/>
      <c r="D132" s="4"/>
      <c r="E132" s="4"/>
      <c r="F132" s="1"/>
      <c r="G132" s="1"/>
      <c r="H132" s="1"/>
      <c r="I132" s="1"/>
      <c r="J132" s="1"/>
      <c r="K132" s="91"/>
      <c r="L132" s="91"/>
      <c r="M132" s="1"/>
      <c r="N132" s="1"/>
      <c r="O132" s="1"/>
      <c r="P132" s="1"/>
      <c r="Q132" s="1"/>
      <c r="R132" s="1"/>
    </row>
    <row r="133" spans="1:18" ht="15.75" customHeight="1">
      <c r="A133" s="1"/>
      <c r="B133" s="12"/>
      <c r="C133" s="12"/>
      <c r="D133" s="4"/>
      <c r="E133" s="4"/>
      <c r="F133" s="1"/>
      <c r="G133" s="1"/>
      <c r="H133" s="1"/>
      <c r="I133" s="1"/>
      <c r="J133" s="1"/>
      <c r="K133" s="91"/>
      <c r="L133" s="91"/>
      <c r="M133" s="1"/>
      <c r="N133" s="1"/>
      <c r="O133" s="1"/>
      <c r="P133" s="1"/>
      <c r="Q133" s="1"/>
      <c r="R133" s="1"/>
    </row>
    <row r="134" spans="1:18" ht="15.75" customHeight="1">
      <c r="A134" s="1"/>
      <c r="B134" s="12"/>
      <c r="C134" s="12"/>
      <c r="D134" s="4"/>
      <c r="E134" s="4"/>
      <c r="F134" s="1"/>
      <c r="G134" s="1"/>
      <c r="H134" s="1"/>
      <c r="I134" s="1"/>
      <c r="J134" s="1"/>
      <c r="K134" s="91"/>
      <c r="L134" s="91"/>
      <c r="M134" s="1"/>
      <c r="N134" s="1"/>
      <c r="O134" s="1"/>
      <c r="P134" s="1"/>
      <c r="Q134" s="1"/>
      <c r="R134" s="1"/>
    </row>
    <row r="135" spans="1:18" ht="15.75" customHeight="1">
      <c r="A135" s="1"/>
      <c r="B135" s="12"/>
      <c r="C135" s="12"/>
      <c r="D135" s="4"/>
      <c r="E135" s="4"/>
      <c r="F135" s="1"/>
      <c r="G135" s="1"/>
      <c r="H135" s="1"/>
      <c r="I135" s="1"/>
      <c r="J135" s="1"/>
      <c r="K135" s="91"/>
      <c r="L135" s="91"/>
      <c r="M135" s="1"/>
      <c r="N135" s="1"/>
      <c r="O135" s="1"/>
      <c r="P135" s="1"/>
      <c r="Q135" s="1"/>
      <c r="R135" s="1"/>
    </row>
    <row r="136" spans="1:18" ht="15.75" customHeight="1">
      <c r="A136" s="1"/>
      <c r="B136" s="12"/>
      <c r="C136" s="12"/>
      <c r="D136" s="4"/>
      <c r="E136" s="4"/>
      <c r="F136" s="1"/>
      <c r="G136" s="1"/>
      <c r="H136" s="1"/>
      <c r="I136" s="1"/>
      <c r="J136" s="1"/>
      <c r="K136" s="91"/>
      <c r="L136" s="91"/>
      <c r="M136" s="1"/>
      <c r="N136" s="1"/>
      <c r="O136" s="1"/>
      <c r="P136" s="1"/>
      <c r="Q136" s="1"/>
      <c r="R136" s="1"/>
    </row>
    <row r="137" spans="1:18" ht="15.75" customHeight="1">
      <c r="A137" s="1"/>
      <c r="B137" s="12"/>
      <c r="C137" s="12"/>
      <c r="D137" s="4"/>
      <c r="E137" s="4"/>
      <c r="F137" s="1"/>
      <c r="G137" s="1"/>
      <c r="H137" s="1"/>
      <c r="I137" s="1"/>
      <c r="J137" s="1"/>
      <c r="K137" s="91"/>
      <c r="L137" s="91"/>
      <c r="M137" s="1"/>
      <c r="N137" s="1"/>
      <c r="O137" s="1"/>
      <c r="P137" s="1"/>
      <c r="Q137" s="1"/>
      <c r="R137" s="1"/>
    </row>
    <row r="138" spans="1:18" ht="15.75" customHeight="1">
      <c r="A138" s="1"/>
      <c r="B138" s="12"/>
      <c r="C138" s="12"/>
      <c r="D138" s="4"/>
      <c r="E138" s="4"/>
      <c r="F138" s="1"/>
      <c r="G138" s="1"/>
      <c r="H138" s="1"/>
      <c r="I138" s="1"/>
      <c r="J138" s="1"/>
      <c r="K138" s="91"/>
      <c r="L138" s="91"/>
      <c r="M138" s="1"/>
      <c r="N138" s="1"/>
      <c r="O138" s="1"/>
      <c r="P138" s="1"/>
      <c r="Q138" s="1"/>
      <c r="R138" s="1"/>
    </row>
    <row r="139" spans="1:18" ht="15.75" customHeight="1">
      <c r="A139" s="1"/>
      <c r="B139" s="12"/>
      <c r="C139" s="12"/>
      <c r="D139" s="4"/>
      <c r="E139" s="4"/>
      <c r="F139" s="1"/>
      <c r="G139" s="1"/>
      <c r="H139" s="1"/>
      <c r="I139" s="1"/>
      <c r="J139" s="1"/>
      <c r="K139" s="91"/>
      <c r="L139" s="91"/>
      <c r="M139" s="1"/>
      <c r="N139" s="1"/>
      <c r="O139" s="1"/>
      <c r="P139" s="1"/>
      <c r="Q139" s="1"/>
      <c r="R139" s="1"/>
    </row>
    <row r="140" spans="1:18" ht="15.75" customHeight="1">
      <c r="A140" s="1"/>
      <c r="B140" s="12"/>
      <c r="C140" s="12"/>
      <c r="D140" s="4"/>
      <c r="E140" s="4"/>
      <c r="F140" s="1"/>
      <c r="G140" s="1"/>
      <c r="H140" s="1"/>
      <c r="I140" s="1"/>
      <c r="J140" s="1"/>
      <c r="K140" s="91"/>
      <c r="L140" s="91"/>
      <c r="M140" s="1"/>
      <c r="N140" s="1"/>
      <c r="O140" s="1"/>
      <c r="P140" s="1"/>
      <c r="Q140" s="1"/>
      <c r="R140" s="1"/>
    </row>
    <row r="141" spans="1:18" ht="15.75" customHeight="1">
      <c r="A141" s="1"/>
      <c r="B141" s="12"/>
      <c r="C141" s="12"/>
      <c r="D141" s="4"/>
      <c r="E141" s="4"/>
      <c r="F141" s="1"/>
      <c r="G141" s="1"/>
      <c r="H141" s="1"/>
      <c r="I141" s="1"/>
      <c r="J141" s="1"/>
      <c r="K141" s="91"/>
      <c r="L141" s="91"/>
      <c r="M141" s="1"/>
      <c r="N141" s="1"/>
      <c r="O141" s="1"/>
      <c r="P141" s="1"/>
      <c r="Q141" s="1"/>
      <c r="R141" s="1"/>
    </row>
    <row r="142" spans="1:18" ht="15.75" customHeight="1">
      <c r="A142" s="1"/>
      <c r="B142" s="12"/>
      <c r="C142" s="12"/>
      <c r="D142" s="4"/>
      <c r="E142" s="4"/>
      <c r="F142" s="1"/>
      <c r="G142" s="1"/>
      <c r="H142" s="1"/>
      <c r="I142" s="1"/>
      <c r="J142" s="1"/>
      <c r="K142" s="91"/>
      <c r="L142" s="91"/>
      <c r="M142" s="1"/>
      <c r="N142" s="1"/>
      <c r="O142" s="1"/>
      <c r="P142" s="1"/>
      <c r="Q142" s="1"/>
      <c r="R142" s="1"/>
    </row>
    <row r="143" spans="1:18" ht="15.75" customHeight="1">
      <c r="A143" s="1"/>
      <c r="B143" s="12"/>
      <c r="C143" s="12"/>
      <c r="D143" s="4"/>
      <c r="E143" s="4"/>
      <c r="F143" s="1"/>
      <c r="G143" s="1"/>
      <c r="H143" s="1"/>
      <c r="I143" s="1"/>
      <c r="J143" s="1"/>
      <c r="K143" s="91"/>
      <c r="L143" s="91"/>
      <c r="M143" s="1"/>
      <c r="N143" s="1"/>
      <c r="O143" s="1"/>
      <c r="P143" s="1"/>
      <c r="Q143" s="1"/>
      <c r="R143" s="1"/>
    </row>
    <row r="144" spans="1:18" ht="15.75" customHeight="1">
      <c r="A144" s="1"/>
      <c r="B144" s="12"/>
      <c r="C144" s="12"/>
      <c r="D144" s="4"/>
      <c r="E144" s="4"/>
      <c r="F144" s="1"/>
      <c r="G144" s="1"/>
      <c r="H144" s="1"/>
      <c r="I144" s="1"/>
      <c r="J144" s="1"/>
      <c r="K144" s="91"/>
      <c r="L144" s="91"/>
      <c r="M144" s="1"/>
      <c r="N144" s="1"/>
      <c r="O144" s="1"/>
      <c r="P144" s="1"/>
      <c r="Q144" s="1"/>
      <c r="R144" s="1"/>
    </row>
    <row r="145" spans="1:18" ht="15.75" customHeight="1">
      <c r="A145" s="1"/>
      <c r="B145" s="12"/>
      <c r="C145" s="12"/>
      <c r="D145" s="4"/>
      <c r="E145" s="4"/>
      <c r="F145" s="1"/>
      <c r="G145" s="1"/>
      <c r="H145" s="1"/>
      <c r="I145" s="1"/>
      <c r="J145" s="1"/>
      <c r="K145" s="91"/>
      <c r="L145" s="91"/>
      <c r="M145" s="1"/>
      <c r="N145" s="1"/>
      <c r="O145" s="1"/>
      <c r="P145" s="1"/>
      <c r="Q145" s="1"/>
      <c r="R145" s="1"/>
    </row>
    <row r="146" spans="1:18" ht="15.75" customHeight="1">
      <c r="A146" s="1"/>
      <c r="B146" s="12"/>
      <c r="C146" s="12"/>
      <c r="D146" s="4"/>
      <c r="E146" s="4"/>
      <c r="F146" s="1"/>
      <c r="G146" s="1"/>
      <c r="H146" s="1"/>
      <c r="I146" s="1"/>
      <c r="J146" s="1"/>
      <c r="K146" s="91"/>
      <c r="L146" s="91"/>
      <c r="M146" s="1"/>
      <c r="N146" s="1"/>
      <c r="O146" s="1"/>
      <c r="P146" s="1"/>
      <c r="Q146" s="1"/>
      <c r="R146" s="1"/>
    </row>
    <row r="147" spans="1:18" ht="15.75" customHeight="1">
      <c r="A147" s="1"/>
      <c r="B147" s="12"/>
      <c r="C147" s="12"/>
      <c r="D147" s="4"/>
      <c r="E147" s="4"/>
      <c r="F147" s="1"/>
      <c r="G147" s="1"/>
      <c r="H147" s="1"/>
      <c r="I147" s="1"/>
      <c r="J147" s="1"/>
      <c r="K147" s="91"/>
      <c r="L147" s="91"/>
      <c r="M147" s="1"/>
      <c r="N147" s="1"/>
      <c r="O147" s="1"/>
      <c r="P147" s="1"/>
      <c r="Q147" s="1"/>
      <c r="R147" s="1"/>
    </row>
    <row r="148" spans="1:18" ht="15.75" customHeight="1">
      <c r="A148" s="1"/>
      <c r="B148" s="12"/>
      <c r="C148" s="12"/>
      <c r="D148" s="4"/>
      <c r="E148" s="4"/>
      <c r="F148" s="1"/>
      <c r="G148" s="1"/>
      <c r="H148" s="1"/>
      <c r="I148" s="1"/>
      <c r="J148" s="1"/>
      <c r="K148" s="91"/>
      <c r="L148" s="91"/>
      <c r="M148" s="1"/>
      <c r="N148" s="1"/>
      <c r="O148" s="1"/>
      <c r="P148" s="1"/>
      <c r="Q148" s="1"/>
      <c r="R148" s="1"/>
    </row>
    <row r="149" spans="1:18" ht="15.75" customHeight="1">
      <c r="A149" s="1"/>
      <c r="B149" s="12"/>
      <c r="C149" s="12"/>
      <c r="D149" s="4"/>
      <c r="E149" s="4"/>
      <c r="F149" s="1"/>
      <c r="G149" s="1"/>
      <c r="H149" s="1"/>
      <c r="I149" s="1"/>
      <c r="J149" s="1"/>
      <c r="K149" s="91"/>
      <c r="L149" s="91"/>
      <c r="M149" s="1"/>
      <c r="N149" s="1"/>
      <c r="O149" s="1"/>
      <c r="P149" s="1"/>
      <c r="Q149" s="1"/>
      <c r="R149" s="1"/>
    </row>
    <row r="150" spans="1:18" ht="15.75" customHeight="1">
      <c r="A150" s="1"/>
      <c r="B150" s="12"/>
      <c r="C150" s="12"/>
      <c r="D150" s="4"/>
      <c r="E150" s="4"/>
      <c r="F150" s="1"/>
      <c r="G150" s="1"/>
      <c r="H150" s="1"/>
      <c r="I150" s="1"/>
      <c r="J150" s="1"/>
      <c r="K150" s="91"/>
      <c r="L150" s="91"/>
      <c r="M150" s="1"/>
      <c r="N150" s="1"/>
      <c r="O150" s="1"/>
      <c r="P150" s="1"/>
      <c r="Q150" s="1"/>
      <c r="R150" s="1"/>
    </row>
    <row r="151" spans="1:18" ht="15.75" customHeight="1">
      <c r="A151" s="1"/>
      <c r="B151" s="12"/>
      <c r="C151" s="12"/>
      <c r="D151" s="4"/>
      <c r="E151" s="4"/>
      <c r="F151" s="1"/>
      <c r="G151" s="1"/>
      <c r="H151" s="1"/>
      <c r="I151" s="1"/>
      <c r="J151" s="1"/>
      <c r="K151" s="91"/>
      <c r="L151" s="91"/>
      <c r="M151" s="1"/>
      <c r="N151" s="1"/>
      <c r="O151" s="1"/>
      <c r="P151" s="1"/>
      <c r="Q151" s="1"/>
      <c r="R151" s="1"/>
    </row>
    <row r="152" spans="1:18" ht="15.75" customHeight="1">
      <c r="A152" s="1"/>
      <c r="B152" s="12"/>
      <c r="C152" s="12"/>
      <c r="D152" s="4"/>
      <c r="E152" s="4"/>
      <c r="F152" s="1"/>
      <c r="G152" s="1"/>
      <c r="H152" s="1"/>
      <c r="I152" s="1"/>
      <c r="J152" s="1"/>
      <c r="K152" s="91"/>
      <c r="L152" s="91"/>
      <c r="M152" s="1"/>
      <c r="N152" s="1"/>
      <c r="O152" s="1"/>
      <c r="P152" s="1"/>
      <c r="Q152" s="1"/>
      <c r="R152" s="1"/>
    </row>
    <row r="153" spans="1:18" ht="15.75" customHeight="1">
      <c r="A153" s="1"/>
      <c r="B153" s="12"/>
      <c r="C153" s="12"/>
      <c r="D153" s="4"/>
      <c r="E153" s="4"/>
      <c r="F153" s="1"/>
      <c r="G153" s="1"/>
      <c r="H153" s="1"/>
      <c r="I153" s="1"/>
      <c r="J153" s="1"/>
      <c r="K153" s="91"/>
      <c r="L153" s="91"/>
      <c r="M153" s="1"/>
      <c r="N153" s="1"/>
      <c r="O153" s="1"/>
      <c r="P153" s="1"/>
      <c r="Q153" s="1"/>
      <c r="R153" s="1"/>
    </row>
    <row r="154" spans="1:18" ht="15.75" customHeight="1">
      <c r="A154" s="1"/>
      <c r="B154" s="12"/>
      <c r="C154" s="12"/>
      <c r="D154" s="4"/>
      <c r="E154" s="4"/>
      <c r="F154" s="1"/>
      <c r="G154" s="1"/>
      <c r="H154" s="1"/>
      <c r="I154" s="1"/>
      <c r="J154" s="1"/>
      <c r="K154" s="91"/>
      <c r="L154" s="91"/>
      <c r="M154" s="1"/>
      <c r="N154" s="1"/>
      <c r="O154" s="1"/>
      <c r="P154" s="1"/>
      <c r="Q154" s="1"/>
      <c r="R154" s="1"/>
    </row>
    <row r="155" spans="1:18" ht="15.75" customHeight="1">
      <c r="A155" s="1"/>
      <c r="B155" s="12"/>
      <c r="C155" s="12"/>
      <c r="D155" s="4"/>
      <c r="E155" s="4"/>
      <c r="F155" s="1"/>
      <c r="G155" s="1"/>
      <c r="H155" s="1"/>
      <c r="I155" s="1"/>
      <c r="J155" s="1"/>
      <c r="K155" s="91"/>
      <c r="L155" s="91"/>
      <c r="M155" s="1"/>
      <c r="N155" s="1"/>
      <c r="O155" s="1"/>
      <c r="P155" s="1"/>
      <c r="Q155" s="1"/>
      <c r="R155" s="1"/>
    </row>
    <row r="156" spans="1:18" ht="15.75" customHeight="1">
      <c r="A156" s="1"/>
      <c r="B156" s="12"/>
      <c r="C156" s="12"/>
      <c r="D156" s="4"/>
      <c r="E156" s="4"/>
      <c r="F156" s="1"/>
      <c r="G156" s="1"/>
      <c r="H156" s="1"/>
      <c r="I156" s="1"/>
      <c r="J156" s="1"/>
      <c r="K156" s="91"/>
      <c r="L156" s="91"/>
      <c r="M156" s="1"/>
      <c r="N156" s="1"/>
      <c r="O156" s="1"/>
      <c r="P156" s="1"/>
      <c r="Q156" s="1"/>
      <c r="R156" s="1"/>
    </row>
    <row r="157" spans="1:18" ht="15.75" customHeight="1">
      <c r="A157" s="1"/>
      <c r="B157" s="12"/>
      <c r="C157" s="12"/>
      <c r="D157" s="4"/>
      <c r="E157" s="4"/>
      <c r="F157" s="1"/>
      <c r="G157" s="1"/>
      <c r="H157" s="1"/>
      <c r="I157" s="1"/>
      <c r="J157" s="1"/>
      <c r="K157" s="91"/>
      <c r="L157" s="91"/>
      <c r="M157" s="1"/>
      <c r="N157" s="1"/>
      <c r="O157" s="1"/>
      <c r="P157" s="1"/>
      <c r="Q157" s="1"/>
      <c r="R157" s="1"/>
    </row>
    <row r="158" spans="1:18" ht="15.75" customHeight="1">
      <c r="A158" s="1"/>
      <c r="B158" s="12"/>
      <c r="C158" s="12"/>
      <c r="D158" s="4"/>
      <c r="E158" s="4"/>
      <c r="F158" s="1"/>
      <c r="G158" s="1"/>
      <c r="H158" s="1"/>
      <c r="I158" s="1"/>
      <c r="J158" s="1"/>
      <c r="K158" s="91"/>
      <c r="L158" s="91"/>
      <c r="M158" s="1"/>
      <c r="N158" s="1"/>
      <c r="O158" s="1"/>
      <c r="P158" s="1"/>
      <c r="Q158" s="1"/>
      <c r="R158" s="1"/>
    </row>
    <row r="159" spans="1:18" ht="15.75" customHeight="1">
      <c r="A159" s="1"/>
      <c r="B159" s="12"/>
      <c r="C159" s="12"/>
      <c r="D159" s="4"/>
      <c r="E159" s="4"/>
      <c r="F159" s="1"/>
      <c r="G159" s="1"/>
      <c r="H159" s="1"/>
      <c r="I159" s="1"/>
      <c r="J159" s="1"/>
      <c r="K159" s="91"/>
      <c r="L159" s="91"/>
      <c r="M159" s="1"/>
      <c r="N159" s="1"/>
      <c r="O159" s="1"/>
      <c r="P159" s="1"/>
      <c r="Q159" s="1"/>
      <c r="R159" s="1"/>
    </row>
    <row r="160" spans="1:18" ht="15.75" customHeight="1">
      <c r="A160" s="1"/>
      <c r="B160" s="12"/>
      <c r="C160" s="12"/>
      <c r="D160" s="4"/>
      <c r="E160" s="4"/>
      <c r="F160" s="1"/>
      <c r="G160" s="1"/>
      <c r="H160" s="1"/>
      <c r="I160" s="1"/>
      <c r="J160" s="1"/>
      <c r="K160" s="91"/>
      <c r="L160" s="91"/>
      <c r="M160" s="1"/>
      <c r="N160" s="1"/>
      <c r="O160" s="1"/>
      <c r="P160" s="1"/>
      <c r="Q160" s="1"/>
      <c r="R160" s="1"/>
    </row>
    <row r="161" spans="1:18" ht="15.75" customHeight="1">
      <c r="A161" s="1"/>
      <c r="B161" s="12"/>
      <c r="C161" s="12"/>
      <c r="D161" s="4"/>
      <c r="E161" s="4"/>
      <c r="F161" s="1"/>
      <c r="G161" s="1"/>
      <c r="H161" s="1"/>
      <c r="I161" s="1"/>
      <c r="J161" s="1"/>
      <c r="K161" s="91"/>
      <c r="L161" s="91"/>
      <c r="M161" s="1"/>
      <c r="N161" s="1"/>
      <c r="O161" s="1"/>
      <c r="P161" s="1"/>
      <c r="Q161" s="1"/>
      <c r="R161" s="1"/>
    </row>
    <row r="162" spans="1:18" ht="15.75" customHeight="1">
      <c r="A162" s="1"/>
      <c r="B162" s="12"/>
      <c r="C162" s="12"/>
      <c r="D162" s="4"/>
      <c r="E162" s="4"/>
      <c r="F162" s="1"/>
      <c r="G162" s="1"/>
      <c r="H162" s="1"/>
      <c r="I162" s="1"/>
      <c r="J162" s="1"/>
      <c r="K162" s="91"/>
      <c r="L162" s="91"/>
      <c r="M162" s="1"/>
      <c r="N162" s="1"/>
      <c r="O162" s="1"/>
      <c r="P162" s="1"/>
      <c r="Q162" s="1"/>
      <c r="R162" s="1"/>
    </row>
    <row r="163" spans="1:18" ht="15.75" customHeight="1">
      <c r="A163" s="1"/>
      <c r="B163" s="12"/>
      <c r="C163" s="12"/>
      <c r="D163" s="4"/>
      <c r="E163" s="4"/>
      <c r="F163" s="1"/>
      <c r="G163" s="1"/>
      <c r="H163" s="1"/>
      <c r="I163" s="1"/>
      <c r="J163" s="1"/>
      <c r="K163" s="91"/>
      <c r="L163" s="91"/>
      <c r="M163" s="1"/>
      <c r="N163" s="1"/>
      <c r="O163" s="1"/>
      <c r="P163" s="1"/>
      <c r="Q163" s="1"/>
      <c r="R163" s="1"/>
    </row>
    <row r="164" spans="1:18" ht="15.75" customHeight="1">
      <c r="A164" s="1"/>
      <c r="B164" s="12"/>
      <c r="C164" s="12"/>
      <c r="D164" s="4"/>
      <c r="E164" s="4"/>
      <c r="F164" s="1"/>
      <c r="G164" s="1"/>
      <c r="H164" s="1"/>
      <c r="I164" s="1"/>
      <c r="J164" s="1"/>
      <c r="K164" s="91"/>
      <c r="L164" s="91"/>
      <c r="M164" s="1"/>
      <c r="N164" s="1"/>
      <c r="O164" s="1"/>
      <c r="P164" s="1"/>
      <c r="Q164" s="1"/>
      <c r="R164" s="1"/>
    </row>
    <row r="165" spans="1:18" ht="15.75" customHeight="1">
      <c r="A165" s="1"/>
      <c r="B165" s="12"/>
      <c r="C165" s="12"/>
      <c r="D165" s="4"/>
      <c r="E165" s="4"/>
      <c r="F165" s="1"/>
      <c r="G165" s="1"/>
      <c r="H165" s="1"/>
      <c r="I165" s="1"/>
      <c r="J165" s="1"/>
      <c r="K165" s="91"/>
      <c r="L165" s="91"/>
      <c r="M165" s="1"/>
      <c r="N165" s="1"/>
      <c r="O165" s="1"/>
      <c r="P165" s="1"/>
      <c r="Q165" s="1"/>
      <c r="R165" s="1"/>
    </row>
    <row r="166" spans="1:18" ht="15.75" customHeight="1">
      <c r="A166" s="1"/>
      <c r="B166" s="12"/>
      <c r="C166" s="12"/>
      <c r="D166" s="4"/>
      <c r="E166" s="4"/>
      <c r="F166" s="1"/>
      <c r="G166" s="1"/>
      <c r="H166" s="1"/>
      <c r="I166" s="1"/>
      <c r="J166" s="1"/>
      <c r="K166" s="91"/>
      <c r="L166" s="91"/>
      <c r="M166" s="1"/>
      <c r="N166" s="1"/>
      <c r="O166" s="1"/>
      <c r="P166" s="1"/>
      <c r="Q166" s="1"/>
      <c r="R166" s="1"/>
    </row>
    <row r="167" spans="1:18" ht="15.75" customHeight="1">
      <c r="A167" s="1"/>
      <c r="B167" s="12"/>
      <c r="C167" s="12"/>
      <c r="D167" s="4"/>
      <c r="E167" s="4"/>
      <c r="F167" s="1"/>
      <c r="G167" s="1"/>
      <c r="H167" s="1"/>
      <c r="I167" s="1"/>
      <c r="J167" s="1"/>
      <c r="K167" s="91"/>
      <c r="L167" s="91"/>
      <c r="M167" s="1"/>
      <c r="N167" s="1"/>
      <c r="O167" s="1"/>
      <c r="P167" s="1"/>
      <c r="Q167" s="1"/>
      <c r="R167" s="1"/>
    </row>
    <row r="168" spans="1:18" ht="15.75" customHeight="1">
      <c r="A168" s="1"/>
      <c r="B168" s="12"/>
      <c r="C168" s="12"/>
      <c r="D168" s="4"/>
      <c r="E168" s="4"/>
      <c r="F168" s="1"/>
      <c r="G168" s="1"/>
      <c r="H168" s="1"/>
      <c r="I168" s="1"/>
      <c r="J168" s="1"/>
      <c r="K168" s="91"/>
      <c r="L168" s="91"/>
      <c r="M168" s="1"/>
      <c r="N168" s="1"/>
      <c r="O168" s="1"/>
      <c r="P168" s="1"/>
      <c r="Q168" s="1"/>
      <c r="R168" s="1"/>
    </row>
    <row r="169" spans="1:18" ht="15.75" customHeight="1">
      <c r="A169" s="1"/>
      <c r="B169" s="12"/>
      <c r="C169" s="12"/>
      <c r="D169" s="4"/>
      <c r="E169" s="4"/>
      <c r="F169" s="1"/>
      <c r="G169" s="1"/>
      <c r="H169" s="1"/>
      <c r="I169" s="1"/>
      <c r="J169" s="1"/>
      <c r="K169" s="91"/>
      <c r="L169" s="91"/>
      <c r="M169" s="1"/>
      <c r="N169" s="1"/>
      <c r="O169" s="1"/>
      <c r="P169" s="1"/>
      <c r="Q169" s="1"/>
      <c r="R169" s="1"/>
    </row>
    <row r="170" spans="1:18" ht="15.75" customHeight="1">
      <c r="A170" s="1"/>
      <c r="B170" s="12"/>
      <c r="C170" s="12"/>
      <c r="D170" s="4"/>
      <c r="E170" s="4"/>
      <c r="F170" s="1"/>
      <c r="G170" s="1"/>
      <c r="H170" s="1"/>
      <c r="I170" s="1"/>
      <c r="J170" s="1"/>
      <c r="K170" s="91"/>
      <c r="L170" s="91"/>
      <c r="M170" s="1"/>
      <c r="N170" s="1"/>
      <c r="O170" s="1"/>
      <c r="P170" s="1"/>
      <c r="Q170" s="1"/>
      <c r="R170" s="1"/>
    </row>
    <row r="171" spans="1:18" ht="15.75" customHeight="1">
      <c r="A171" s="1"/>
      <c r="B171" s="12"/>
      <c r="C171" s="12"/>
      <c r="D171" s="4"/>
      <c r="E171" s="4"/>
      <c r="F171" s="1"/>
      <c r="G171" s="1"/>
      <c r="H171" s="1"/>
      <c r="I171" s="1"/>
      <c r="J171" s="1"/>
      <c r="K171" s="91"/>
      <c r="L171" s="91"/>
      <c r="M171" s="1"/>
      <c r="N171" s="1"/>
      <c r="O171" s="1"/>
      <c r="P171" s="1"/>
      <c r="Q171" s="1"/>
      <c r="R171" s="1"/>
    </row>
    <row r="172" spans="1:18" ht="15.75" customHeight="1">
      <c r="A172" s="1"/>
      <c r="B172" s="12"/>
      <c r="C172" s="12"/>
      <c r="D172" s="4"/>
      <c r="E172" s="4"/>
      <c r="F172" s="1"/>
      <c r="G172" s="1"/>
      <c r="H172" s="1"/>
      <c r="I172" s="1"/>
      <c r="J172" s="1"/>
      <c r="K172" s="91"/>
      <c r="L172" s="91"/>
      <c r="M172" s="1"/>
      <c r="N172" s="1"/>
      <c r="O172" s="1"/>
      <c r="P172" s="1"/>
      <c r="Q172" s="1"/>
      <c r="R172" s="1"/>
    </row>
    <row r="173" spans="1:18" ht="15.75" customHeight="1">
      <c r="A173" s="1"/>
      <c r="B173" s="12"/>
      <c r="C173" s="12"/>
      <c r="D173" s="4"/>
      <c r="E173" s="4"/>
      <c r="F173" s="1"/>
      <c r="G173" s="1"/>
      <c r="H173" s="1"/>
      <c r="I173" s="1"/>
      <c r="J173" s="1"/>
      <c r="K173" s="91"/>
      <c r="L173" s="91"/>
      <c r="M173" s="1"/>
      <c r="N173" s="1"/>
      <c r="O173" s="1"/>
      <c r="P173" s="1"/>
      <c r="Q173" s="1"/>
      <c r="R173" s="1"/>
    </row>
    <row r="174" spans="1:18" ht="15.75" customHeight="1">
      <c r="A174" s="1"/>
      <c r="B174" s="12"/>
      <c r="C174" s="12"/>
      <c r="D174" s="4"/>
      <c r="E174" s="4"/>
      <c r="F174" s="1"/>
      <c r="G174" s="1"/>
      <c r="H174" s="1"/>
      <c r="I174" s="1"/>
      <c r="J174" s="1"/>
      <c r="K174" s="91"/>
      <c r="L174" s="91"/>
      <c r="M174" s="1"/>
      <c r="N174" s="1"/>
      <c r="O174" s="1"/>
      <c r="P174" s="1"/>
      <c r="Q174" s="1"/>
      <c r="R174" s="1"/>
    </row>
    <row r="175" spans="1:18" ht="15.75" customHeight="1">
      <c r="A175" s="1"/>
      <c r="B175" s="12"/>
      <c r="C175" s="12"/>
      <c r="D175" s="4"/>
      <c r="E175" s="4"/>
      <c r="F175" s="1"/>
      <c r="G175" s="1"/>
      <c r="H175" s="1"/>
      <c r="I175" s="1"/>
      <c r="J175" s="1"/>
      <c r="K175" s="91"/>
      <c r="L175" s="91"/>
      <c r="M175" s="1"/>
      <c r="N175" s="1"/>
      <c r="O175" s="1"/>
      <c r="P175" s="1"/>
      <c r="Q175" s="1"/>
      <c r="R175" s="1"/>
    </row>
    <row r="176" spans="1:18" ht="15.75" customHeight="1">
      <c r="A176" s="1"/>
      <c r="B176" s="12"/>
      <c r="C176" s="12"/>
      <c r="D176" s="4"/>
      <c r="E176" s="4"/>
      <c r="F176" s="1"/>
      <c r="G176" s="1"/>
      <c r="H176" s="1"/>
      <c r="I176" s="1"/>
      <c r="J176" s="1"/>
      <c r="K176" s="91"/>
      <c r="L176" s="91"/>
      <c r="M176" s="1"/>
      <c r="N176" s="1"/>
      <c r="O176" s="1"/>
      <c r="P176" s="1"/>
      <c r="Q176" s="1"/>
      <c r="R176" s="1"/>
    </row>
    <row r="177" spans="1:18" ht="15.75" customHeight="1">
      <c r="A177" s="1"/>
      <c r="B177" s="12"/>
      <c r="C177" s="12"/>
      <c r="D177" s="4"/>
      <c r="E177" s="4"/>
      <c r="F177" s="1"/>
      <c r="G177" s="1"/>
      <c r="H177" s="1"/>
      <c r="I177" s="1"/>
      <c r="J177" s="1"/>
      <c r="K177" s="91"/>
      <c r="L177" s="91"/>
      <c r="M177" s="1"/>
      <c r="N177" s="1"/>
      <c r="O177" s="1"/>
      <c r="P177" s="1"/>
      <c r="Q177" s="1"/>
      <c r="R177" s="1"/>
    </row>
    <row r="178" spans="1:18" ht="15.75" customHeight="1">
      <c r="A178" s="1"/>
      <c r="B178" s="12"/>
      <c r="C178" s="12"/>
      <c r="D178" s="4"/>
      <c r="E178" s="4"/>
      <c r="F178" s="1"/>
      <c r="G178" s="1"/>
      <c r="H178" s="1"/>
      <c r="I178" s="1"/>
      <c r="J178" s="1"/>
      <c r="K178" s="91"/>
      <c r="L178" s="91"/>
      <c r="M178" s="1"/>
      <c r="N178" s="1"/>
      <c r="O178" s="1"/>
      <c r="P178" s="1"/>
      <c r="Q178" s="1"/>
      <c r="R178" s="1"/>
    </row>
    <row r="179" spans="1:18" ht="15.75" customHeight="1">
      <c r="A179" s="1"/>
      <c r="B179" s="12"/>
      <c r="C179" s="12"/>
      <c r="D179" s="4"/>
      <c r="E179" s="4"/>
      <c r="F179" s="1"/>
      <c r="G179" s="1"/>
      <c r="H179" s="1"/>
      <c r="I179" s="1"/>
      <c r="J179" s="1"/>
      <c r="K179" s="91"/>
      <c r="L179" s="91"/>
      <c r="M179" s="1"/>
      <c r="N179" s="1"/>
      <c r="O179" s="1"/>
      <c r="P179" s="1"/>
      <c r="Q179" s="1"/>
      <c r="R179" s="1"/>
    </row>
    <row r="180" spans="1:18" ht="15.75" customHeight="1">
      <c r="A180" s="1"/>
      <c r="B180" s="12"/>
      <c r="C180" s="12"/>
      <c r="D180" s="4"/>
      <c r="E180" s="4"/>
      <c r="F180" s="1"/>
      <c r="G180" s="1"/>
      <c r="H180" s="1"/>
      <c r="I180" s="1"/>
      <c r="J180" s="1"/>
      <c r="K180" s="91"/>
      <c r="L180" s="91"/>
      <c r="M180" s="1"/>
      <c r="N180" s="1"/>
      <c r="O180" s="1"/>
      <c r="P180" s="1"/>
      <c r="Q180" s="1"/>
      <c r="R180" s="1"/>
    </row>
    <row r="181" spans="1:18" ht="15.75" customHeight="1">
      <c r="A181" s="1"/>
      <c r="B181" s="12"/>
      <c r="C181" s="12"/>
      <c r="D181" s="4"/>
      <c r="E181" s="4"/>
      <c r="F181" s="1"/>
      <c r="G181" s="1"/>
      <c r="H181" s="1"/>
      <c r="I181" s="1"/>
      <c r="J181" s="1"/>
      <c r="K181" s="91"/>
      <c r="L181" s="91"/>
      <c r="M181" s="1"/>
      <c r="N181" s="1"/>
      <c r="O181" s="1"/>
      <c r="P181" s="1"/>
      <c r="Q181" s="1"/>
      <c r="R181" s="1"/>
    </row>
    <row r="182" spans="1:18" ht="15.75" customHeight="1">
      <c r="A182" s="1"/>
      <c r="B182" s="12"/>
      <c r="C182" s="12"/>
      <c r="D182" s="4"/>
      <c r="E182" s="4"/>
      <c r="F182" s="1"/>
      <c r="G182" s="1"/>
      <c r="H182" s="1"/>
      <c r="I182" s="1"/>
      <c r="J182" s="1"/>
      <c r="K182" s="91"/>
      <c r="L182" s="91"/>
      <c r="M182" s="1"/>
      <c r="N182" s="1"/>
      <c r="O182" s="1"/>
      <c r="P182" s="1"/>
      <c r="Q182" s="1"/>
      <c r="R182" s="1"/>
    </row>
    <row r="183" spans="1:18" ht="15.75" customHeight="1">
      <c r="A183" s="1"/>
      <c r="B183" s="12"/>
      <c r="C183" s="12"/>
      <c r="D183" s="4"/>
      <c r="E183" s="4"/>
      <c r="F183" s="1"/>
      <c r="G183" s="1"/>
      <c r="H183" s="1"/>
      <c r="I183" s="1"/>
      <c r="J183" s="1"/>
      <c r="K183" s="91"/>
      <c r="L183" s="91"/>
      <c r="M183" s="1"/>
      <c r="N183" s="1"/>
      <c r="O183" s="1"/>
      <c r="P183" s="1"/>
      <c r="Q183" s="1"/>
      <c r="R183" s="1"/>
    </row>
    <row r="184" spans="1:18" ht="15.75" customHeight="1">
      <c r="A184" s="1"/>
      <c r="B184" s="12"/>
      <c r="C184" s="12"/>
      <c r="D184" s="4"/>
      <c r="E184" s="4"/>
      <c r="F184" s="1"/>
      <c r="G184" s="1"/>
      <c r="H184" s="1"/>
      <c r="I184" s="1"/>
      <c r="J184" s="1"/>
      <c r="K184" s="91"/>
      <c r="L184" s="91"/>
      <c r="M184" s="1"/>
      <c r="N184" s="1"/>
      <c r="O184" s="1"/>
      <c r="P184" s="1"/>
      <c r="Q184" s="1"/>
      <c r="R184" s="1"/>
    </row>
    <row r="185" spans="1:18" ht="15.75" customHeight="1">
      <c r="A185" s="1"/>
      <c r="B185" s="12"/>
      <c r="C185" s="12"/>
      <c r="D185" s="4"/>
      <c r="E185" s="4"/>
      <c r="F185" s="1"/>
      <c r="G185" s="1"/>
      <c r="H185" s="1"/>
      <c r="I185" s="1"/>
      <c r="J185" s="1"/>
      <c r="K185" s="91"/>
      <c r="L185" s="91"/>
      <c r="M185" s="1"/>
      <c r="N185" s="1"/>
      <c r="O185" s="1"/>
      <c r="P185" s="1"/>
      <c r="Q185" s="1"/>
      <c r="R185" s="1"/>
    </row>
    <row r="186" spans="1:18" ht="15.75" customHeight="1">
      <c r="A186" s="1"/>
      <c r="B186" s="12"/>
      <c r="C186" s="12"/>
      <c r="D186" s="4"/>
      <c r="E186" s="4"/>
      <c r="F186" s="1"/>
      <c r="G186" s="1"/>
      <c r="H186" s="1"/>
      <c r="I186" s="1"/>
      <c r="J186" s="1"/>
      <c r="K186" s="91"/>
      <c r="L186" s="91"/>
      <c r="M186" s="1"/>
      <c r="N186" s="1"/>
      <c r="O186" s="1"/>
      <c r="P186" s="1"/>
      <c r="Q186" s="1"/>
      <c r="R186" s="1"/>
    </row>
    <row r="187" spans="1:18" ht="15.75" customHeight="1">
      <c r="A187" s="1"/>
      <c r="B187" s="12"/>
      <c r="C187" s="12"/>
      <c r="D187" s="4"/>
      <c r="E187" s="4"/>
      <c r="F187" s="1"/>
      <c r="G187" s="1"/>
      <c r="H187" s="1"/>
      <c r="I187" s="1"/>
      <c r="J187" s="1"/>
      <c r="K187" s="91"/>
      <c r="L187" s="91"/>
      <c r="M187" s="1"/>
      <c r="N187" s="1"/>
      <c r="O187" s="1"/>
      <c r="P187" s="1"/>
      <c r="Q187" s="1"/>
      <c r="R187" s="1"/>
    </row>
    <row r="188" spans="1:18" ht="15.75" customHeight="1">
      <c r="A188" s="1"/>
      <c r="B188" s="12"/>
      <c r="C188" s="12"/>
      <c r="D188" s="4"/>
      <c r="E188" s="4"/>
      <c r="F188" s="1"/>
      <c r="G188" s="1"/>
      <c r="H188" s="1"/>
      <c r="I188" s="1"/>
      <c r="J188" s="1"/>
      <c r="K188" s="91"/>
      <c r="L188" s="91"/>
      <c r="M188" s="1"/>
      <c r="N188" s="1"/>
      <c r="O188" s="1"/>
      <c r="P188" s="1"/>
      <c r="Q188" s="1"/>
      <c r="R188" s="1"/>
    </row>
    <row r="189" spans="1:18" ht="15.75" customHeight="1">
      <c r="A189" s="1"/>
      <c r="B189" s="12"/>
      <c r="C189" s="12"/>
      <c r="D189" s="4"/>
      <c r="E189" s="4"/>
      <c r="F189" s="1"/>
      <c r="G189" s="1"/>
      <c r="H189" s="1"/>
      <c r="I189" s="1"/>
      <c r="J189" s="1"/>
      <c r="K189" s="91"/>
      <c r="L189" s="91"/>
      <c r="M189" s="1"/>
      <c r="N189" s="1"/>
      <c r="O189" s="1"/>
      <c r="P189" s="1"/>
      <c r="Q189" s="1"/>
      <c r="R189" s="1"/>
    </row>
    <row r="190" spans="1:18" ht="15.75" customHeight="1">
      <c r="A190" s="1"/>
      <c r="B190" s="12"/>
      <c r="C190" s="12"/>
      <c r="D190" s="4"/>
      <c r="E190" s="4"/>
      <c r="F190" s="1"/>
      <c r="G190" s="1"/>
      <c r="H190" s="1"/>
      <c r="I190" s="1"/>
      <c r="J190" s="1"/>
      <c r="K190" s="91"/>
      <c r="L190" s="91"/>
      <c r="M190" s="1"/>
      <c r="N190" s="1"/>
      <c r="O190" s="1"/>
      <c r="P190" s="1"/>
      <c r="Q190" s="1"/>
      <c r="R190" s="1"/>
    </row>
    <row r="191" spans="1:18" ht="15.75" customHeight="1">
      <c r="A191" s="1"/>
      <c r="B191" s="12"/>
      <c r="C191" s="12"/>
      <c r="D191" s="4"/>
      <c r="E191" s="4"/>
      <c r="F191" s="1"/>
      <c r="G191" s="1"/>
      <c r="H191" s="1"/>
      <c r="I191" s="1"/>
      <c r="J191" s="1"/>
      <c r="K191" s="91"/>
      <c r="L191" s="91"/>
      <c r="M191" s="1"/>
      <c r="N191" s="1"/>
      <c r="O191" s="1"/>
      <c r="P191" s="1"/>
      <c r="Q191" s="1"/>
      <c r="R191" s="1"/>
    </row>
    <row r="192" spans="1:18" ht="15.75" customHeight="1">
      <c r="A192" s="1"/>
      <c r="B192" s="12"/>
      <c r="C192" s="12"/>
      <c r="D192" s="4"/>
      <c r="E192" s="4"/>
      <c r="F192" s="1"/>
      <c r="G192" s="1"/>
      <c r="H192" s="1"/>
      <c r="I192" s="1"/>
      <c r="J192" s="1"/>
      <c r="K192" s="91"/>
      <c r="L192" s="91"/>
      <c r="M192" s="1"/>
      <c r="N192" s="1"/>
      <c r="O192" s="1"/>
      <c r="P192" s="1"/>
      <c r="Q192" s="1"/>
      <c r="R192" s="1"/>
    </row>
    <row r="193" spans="1:18" ht="15.75" customHeight="1">
      <c r="A193" s="1"/>
      <c r="B193" s="12"/>
      <c r="C193" s="12"/>
      <c r="D193" s="4"/>
      <c r="E193" s="4"/>
      <c r="F193" s="1"/>
      <c r="G193" s="1"/>
      <c r="H193" s="1"/>
      <c r="I193" s="1"/>
      <c r="J193" s="1"/>
      <c r="K193" s="91"/>
      <c r="L193" s="91"/>
      <c r="M193" s="1"/>
      <c r="N193" s="1"/>
      <c r="O193" s="1"/>
      <c r="P193" s="1"/>
      <c r="Q193" s="1"/>
      <c r="R193" s="1"/>
    </row>
    <row r="194" spans="1:18" ht="15.75" customHeight="1">
      <c r="A194" s="1"/>
      <c r="B194" s="12"/>
      <c r="C194" s="12"/>
      <c r="D194" s="4"/>
      <c r="E194" s="4"/>
      <c r="F194" s="1"/>
      <c r="G194" s="1"/>
      <c r="H194" s="1"/>
      <c r="I194" s="1"/>
      <c r="J194" s="1"/>
      <c r="K194" s="91"/>
      <c r="L194" s="91"/>
      <c r="M194" s="1"/>
      <c r="N194" s="1"/>
      <c r="O194" s="1"/>
      <c r="P194" s="1"/>
      <c r="Q194" s="1"/>
      <c r="R194" s="1"/>
    </row>
    <row r="195" spans="1:18" ht="15.75" customHeight="1">
      <c r="A195" s="1"/>
      <c r="B195" s="12"/>
      <c r="C195" s="12"/>
      <c r="D195" s="4"/>
      <c r="E195" s="4"/>
      <c r="F195" s="1"/>
      <c r="G195" s="1"/>
      <c r="H195" s="1"/>
      <c r="I195" s="1"/>
      <c r="J195" s="1"/>
      <c r="K195" s="91"/>
      <c r="L195" s="91"/>
      <c r="M195" s="1"/>
      <c r="N195" s="1"/>
      <c r="O195" s="1"/>
      <c r="P195" s="1"/>
      <c r="Q195" s="1"/>
      <c r="R195" s="1"/>
    </row>
    <row r="196" spans="1:18" ht="15.75" customHeight="1">
      <c r="A196" s="1"/>
      <c r="B196" s="12"/>
      <c r="C196" s="12"/>
      <c r="D196" s="4"/>
      <c r="E196" s="4"/>
      <c r="F196" s="1"/>
      <c r="G196" s="1"/>
      <c r="H196" s="1"/>
      <c r="I196" s="1"/>
      <c r="J196" s="1"/>
      <c r="K196" s="91"/>
      <c r="L196" s="91"/>
      <c r="M196" s="1"/>
      <c r="N196" s="1"/>
      <c r="O196" s="1"/>
      <c r="P196" s="1"/>
      <c r="Q196" s="1"/>
      <c r="R196" s="1"/>
    </row>
    <row r="197" spans="1:18" ht="15.75" customHeight="1">
      <c r="A197" s="1"/>
      <c r="B197" s="12"/>
      <c r="C197" s="12"/>
      <c r="D197" s="4"/>
      <c r="E197" s="4"/>
      <c r="F197" s="1"/>
      <c r="G197" s="1"/>
      <c r="H197" s="1"/>
      <c r="I197" s="1"/>
      <c r="J197" s="1"/>
      <c r="K197" s="91"/>
      <c r="L197" s="91"/>
      <c r="M197" s="1"/>
      <c r="N197" s="1"/>
      <c r="O197" s="1"/>
      <c r="P197" s="1"/>
      <c r="Q197" s="1"/>
      <c r="R197" s="1"/>
    </row>
    <row r="198" spans="1:18" ht="15.75" customHeight="1">
      <c r="A198" s="1"/>
      <c r="B198" s="12"/>
      <c r="C198" s="12"/>
      <c r="D198" s="4"/>
      <c r="E198" s="4"/>
      <c r="F198" s="1"/>
      <c r="G198" s="1"/>
      <c r="H198" s="1"/>
      <c r="I198" s="1"/>
      <c r="J198" s="1"/>
      <c r="K198" s="91"/>
      <c r="L198" s="91"/>
      <c r="M198" s="1"/>
      <c r="N198" s="1"/>
      <c r="O198" s="1"/>
      <c r="P198" s="1"/>
      <c r="Q198" s="1"/>
      <c r="R198" s="1"/>
    </row>
    <row r="199" spans="1:18" ht="15.75" customHeight="1">
      <c r="A199" s="1"/>
      <c r="B199" s="12"/>
      <c r="C199" s="12"/>
      <c r="D199" s="4"/>
      <c r="E199" s="4"/>
      <c r="F199" s="1"/>
      <c r="G199" s="1"/>
      <c r="H199" s="1"/>
      <c r="I199" s="1"/>
      <c r="J199" s="1"/>
      <c r="K199" s="91"/>
      <c r="L199" s="91"/>
      <c r="M199" s="1"/>
      <c r="N199" s="1"/>
      <c r="O199" s="1"/>
      <c r="P199" s="1"/>
      <c r="Q199" s="1"/>
      <c r="R199" s="1"/>
    </row>
    <row r="200" spans="1:18" ht="15.75" customHeight="1">
      <c r="A200" s="1"/>
      <c r="B200" s="12"/>
      <c r="C200" s="12"/>
      <c r="D200" s="4"/>
      <c r="E200" s="4"/>
      <c r="F200" s="1"/>
      <c r="G200" s="1"/>
      <c r="H200" s="1"/>
      <c r="I200" s="1"/>
      <c r="J200" s="1"/>
      <c r="K200" s="91"/>
      <c r="L200" s="91"/>
      <c r="M200" s="1"/>
      <c r="N200" s="1"/>
      <c r="O200" s="1"/>
      <c r="P200" s="1"/>
      <c r="Q200" s="1"/>
      <c r="R200" s="1"/>
    </row>
    <row r="201" spans="1:18" ht="15.75" customHeight="1">
      <c r="A201" s="1"/>
      <c r="B201" s="12"/>
      <c r="C201" s="12"/>
      <c r="D201" s="4"/>
      <c r="E201" s="4"/>
      <c r="F201" s="1"/>
      <c r="G201" s="1"/>
      <c r="H201" s="1"/>
      <c r="I201" s="1"/>
      <c r="J201" s="1"/>
      <c r="K201" s="91"/>
      <c r="L201" s="91"/>
      <c r="M201" s="1"/>
      <c r="N201" s="1"/>
      <c r="O201" s="1"/>
      <c r="P201" s="1"/>
      <c r="Q201" s="1"/>
      <c r="R201" s="1"/>
    </row>
    <row r="202" spans="1:18" ht="15.75" customHeight="1">
      <c r="A202" s="1"/>
      <c r="B202" s="12"/>
      <c r="C202" s="12"/>
      <c r="D202" s="4"/>
      <c r="E202" s="4"/>
      <c r="F202" s="1"/>
      <c r="G202" s="1"/>
      <c r="H202" s="1"/>
      <c r="I202" s="1"/>
      <c r="J202" s="1"/>
      <c r="K202" s="91"/>
      <c r="L202" s="91"/>
      <c r="M202" s="1"/>
      <c r="N202" s="1"/>
      <c r="O202" s="1"/>
      <c r="P202" s="1"/>
      <c r="Q202" s="1"/>
      <c r="R202" s="1"/>
    </row>
    <row r="203" spans="1:18" ht="15.75" customHeight="1">
      <c r="A203" s="1"/>
      <c r="B203" s="12"/>
      <c r="C203" s="12"/>
      <c r="D203" s="4"/>
      <c r="E203" s="4"/>
      <c r="F203" s="1"/>
      <c r="G203" s="1"/>
      <c r="H203" s="1"/>
      <c r="I203" s="1"/>
      <c r="J203" s="1"/>
      <c r="K203" s="91"/>
      <c r="L203" s="91"/>
      <c r="M203" s="1"/>
      <c r="N203" s="1"/>
      <c r="O203" s="1"/>
      <c r="P203" s="1"/>
      <c r="Q203" s="1"/>
      <c r="R203" s="1"/>
    </row>
    <row r="204" spans="1:18" ht="15.75" customHeight="1">
      <c r="A204" s="1"/>
      <c r="B204" s="12"/>
      <c r="C204" s="12"/>
      <c r="D204" s="4"/>
      <c r="E204" s="4"/>
      <c r="F204" s="1"/>
      <c r="G204" s="1"/>
      <c r="H204" s="1"/>
      <c r="I204" s="1"/>
      <c r="J204" s="1"/>
      <c r="K204" s="91"/>
      <c r="L204" s="91"/>
      <c r="M204" s="1"/>
      <c r="N204" s="1"/>
      <c r="O204" s="1"/>
      <c r="P204" s="1"/>
      <c r="Q204" s="1"/>
      <c r="R204" s="1"/>
    </row>
    <row r="205" spans="1:18" ht="15.75" customHeight="1">
      <c r="A205" s="1"/>
      <c r="B205" s="12"/>
      <c r="C205" s="12"/>
      <c r="D205" s="4"/>
      <c r="E205" s="4"/>
      <c r="F205" s="1"/>
      <c r="G205" s="1"/>
      <c r="H205" s="1"/>
      <c r="I205" s="1"/>
      <c r="J205" s="1"/>
      <c r="K205" s="91"/>
      <c r="L205" s="91"/>
      <c r="M205" s="1"/>
      <c r="N205" s="1"/>
      <c r="O205" s="1"/>
      <c r="P205" s="1"/>
      <c r="Q205" s="1"/>
      <c r="R205" s="1"/>
    </row>
    <row r="206" spans="1:18" ht="15.75" customHeight="1">
      <c r="A206" s="1"/>
      <c r="B206" s="12"/>
      <c r="C206" s="12"/>
      <c r="D206" s="4"/>
      <c r="E206" s="4"/>
      <c r="F206" s="1"/>
      <c r="G206" s="1"/>
      <c r="H206" s="1"/>
      <c r="I206" s="1"/>
      <c r="J206" s="1"/>
      <c r="K206" s="91"/>
      <c r="L206" s="91"/>
      <c r="M206" s="1"/>
      <c r="N206" s="1"/>
      <c r="O206" s="1"/>
      <c r="P206" s="1"/>
      <c r="Q206" s="1"/>
      <c r="R206" s="1"/>
    </row>
    <row r="207" spans="1:18" ht="15.75" customHeight="1">
      <c r="A207" s="1"/>
      <c r="B207" s="12"/>
      <c r="C207" s="12"/>
      <c r="D207" s="4"/>
      <c r="E207" s="4"/>
      <c r="F207" s="1"/>
      <c r="G207" s="1"/>
      <c r="H207" s="1"/>
      <c r="I207" s="1"/>
      <c r="J207" s="1"/>
      <c r="K207" s="91"/>
      <c r="L207" s="91"/>
      <c r="M207" s="1"/>
      <c r="N207" s="1"/>
      <c r="O207" s="1"/>
      <c r="P207" s="1"/>
      <c r="Q207" s="1"/>
      <c r="R207" s="1"/>
    </row>
    <row r="208" spans="1:18" ht="15.75" customHeight="1">
      <c r="A208" s="1"/>
      <c r="B208" s="12"/>
      <c r="C208" s="12"/>
      <c r="D208" s="4"/>
      <c r="E208" s="4"/>
      <c r="F208" s="1"/>
      <c r="G208" s="1"/>
      <c r="H208" s="1"/>
      <c r="I208" s="1"/>
      <c r="J208" s="1"/>
      <c r="K208" s="91"/>
      <c r="L208" s="91"/>
      <c r="M208" s="1"/>
      <c r="N208" s="1"/>
      <c r="O208" s="1"/>
      <c r="P208" s="1"/>
      <c r="Q208" s="1"/>
      <c r="R208" s="1"/>
    </row>
    <row r="209" spans="1:18" ht="15.75" customHeight="1">
      <c r="A209" s="1"/>
      <c r="B209" s="12"/>
      <c r="C209" s="12"/>
      <c r="D209" s="4"/>
      <c r="E209" s="4"/>
      <c r="F209" s="1"/>
      <c r="G209" s="1"/>
      <c r="H209" s="1"/>
      <c r="I209" s="1"/>
      <c r="J209" s="1"/>
      <c r="K209" s="91"/>
      <c r="L209" s="91"/>
      <c r="M209" s="1"/>
      <c r="N209" s="1"/>
      <c r="O209" s="1"/>
      <c r="P209" s="1"/>
      <c r="Q209" s="1"/>
      <c r="R209" s="1"/>
    </row>
    <row r="210" spans="1:18" ht="15.75" customHeight="1">
      <c r="A210" s="1"/>
      <c r="B210" s="12"/>
      <c r="C210" s="12"/>
      <c r="D210" s="4"/>
      <c r="E210" s="4"/>
      <c r="F210" s="1"/>
      <c r="G210" s="1"/>
      <c r="H210" s="1"/>
      <c r="I210" s="1"/>
      <c r="J210" s="1"/>
      <c r="K210" s="91"/>
      <c r="L210" s="91"/>
      <c r="M210" s="1"/>
      <c r="N210" s="1"/>
      <c r="O210" s="1"/>
      <c r="P210" s="1"/>
      <c r="Q210" s="1"/>
      <c r="R210" s="1"/>
    </row>
    <row r="211" spans="1:18" ht="15.75" customHeight="1">
      <c r="A211" s="1"/>
      <c r="B211" s="12"/>
      <c r="C211" s="12"/>
      <c r="D211" s="4"/>
      <c r="E211" s="4"/>
      <c r="F211" s="1"/>
      <c r="G211" s="1"/>
      <c r="H211" s="1"/>
      <c r="I211" s="1"/>
      <c r="J211" s="1"/>
      <c r="K211" s="91"/>
      <c r="L211" s="91"/>
      <c r="M211" s="1"/>
      <c r="N211" s="1"/>
      <c r="O211" s="1"/>
      <c r="P211" s="1"/>
      <c r="Q211" s="1"/>
      <c r="R211" s="1"/>
    </row>
    <row r="212" spans="1:18" ht="15.75" customHeight="1">
      <c r="A212" s="1"/>
      <c r="B212" s="12"/>
      <c r="C212" s="12"/>
      <c r="D212" s="4"/>
      <c r="E212" s="4"/>
      <c r="F212" s="1"/>
      <c r="G212" s="1"/>
      <c r="H212" s="1"/>
      <c r="I212" s="1"/>
      <c r="J212" s="1"/>
      <c r="K212" s="91"/>
      <c r="L212" s="91"/>
      <c r="M212" s="1"/>
      <c r="N212" s="1"/>
      <c r="O212" s="1"/>
      <c r="P212" s="1"/>
      <c r="Q212" s="1"/>
      <c r="R212" s="1"/>
    </row>
    <row r="213" spans="1:18" ht="15.75" customHeight="1">
      <c r="A213" s="1"/>
      <c r="B213" s="12"/>
      <c r="C213" s="12"/>
      <c r="D213" s="4"/>
      <c r="E213" s="4"/>
      <c r="F213" s="1"/>
      <c r="G213" s="1"/>
      <c r="H213" s="1"/>
      <c r="I213" s="1"/>
      <c r="J213" s="1"/>
      <c r="K213" s="91"/>
      <c r="L213" s="91"/>
      <c r="M213" s="1"/>
      <c r="N213" s="1"/>
      <c r="O213" s="1"/>
      <c r="P213" s="1"/>
      <c r="Q213" s="1"/>
      <c r="R213" s="1"/>
    </row>
    <row r="214" spans="1:18" ht="15.75" customHeight="1">
      <c r="A214" s="1"/>
      <c r="B214" s="12"/>
      <c r="C214" s="12"/>
      <c r="D214" s="4"/>
      <c r="E214" s="4"/>
      <c r="F214" s="1"/>
      <c r="G214" s="1"/>
      <c r="H214" s="1"/>
      <c r="I214" s="1"/>
      <c r="J214" s="1"/>
      <c r="K214" s="91"/>
      <c r="L214" s="91"/>
      <c r="M214" s="1"/>
      <c r="N214" s="1"/>
      <c r="O214" s="1"/>
      <c r="P214" s="1"/>
      <c r="Q214" s="1"/>
      <c r="R214" s="1"/>
    </row>
    <row r="215" spans="1:18" ht="15.75" customHeight="1">
      <c r="A215" s="1"/>
      <c r="B215" s="12"/>
      <c r="C215" s="12"/>
      <c r="D215" s="4"/>
      <c r="E215" s="4"/>
      <c r="F215" s="1"/>
      <c r="G215" s="1"/>
      <c r="H215" s="1"/>
      <c r="I215" s="1"/>
      <c r="J215" s="1"/>
      <c r="K215" s="91"/>
      <c r="L215" s="91"/>
      <c r="M215" s="1"/>
      <c r="N215" s="1"/>
      <c r="O215" s="1"/>
      <c r="P215" s="1"/>
      <c r="Q215" s="1"/>
      <c r="R215" s="1"/>
    </row>
    <row r="216" spans="1:18" ht="15.75" customHeight="1">
      <c r="A216" s="1"/>
      <c r="B216" s="12"/>
      <c r="C216" s="12"/>
      <c r="D216" s="4"/>
      <c r="E216" s="4"/>
      <c r="F216" s="1"/>
      <c r="G216" s="1"/>
      <c r="H216" s="1"/>
      <c r="I216" s="1"/>
      <c r="J216" s="1"/>
      <c r="K216" s="91"/>
      <c r="L216" s="91"/>
      <c r="M216" s="1"/>
      <c r="N216" s="1"/>
      <c r="O216" s="1"/>
      <c r="P216" s="1"/>
      <c r="Q216" s="1"/>
      <c r="R216" s="1"/>
    </row>
    <row r="217" spans="1:18" ht="15.75" customHeight="1">
      <c r="A217" s="1"/>
      <c r="B217" s="12"/>
      <c r="C217" s="12"/>
      <c r="D217" s="4"/>
      <c r="E217" s="4"/>
      <c r="F217" s="1"/>
      <c r="G217" s="1"/>
      <c r="H217" s="1"/>
      <c r="I217" s="1"/>
      <c r="J217" s="1"/>
      <c r="K217" s="91"/>
      <c r="L217" s="91"/>
      <c r="M217" s="1"/>
      <c r="N217" s="1"/>
      <c r="O217" s="1"/>
      <c r="P217" s="1"/>
      <c r="Q217" s="1"/>
      <c r="R217" s="1"/>
    </row>
    <row r="218" spans="1:18" ht="15.75" customHeight="1">
      <c r="A218" s="1"/>
      <c r="B218" s="12"/>
      <c r="C218" s="12"/>
      <c r="D218" s="4"/>
      <c r="E218" s="4"/>
      <c r="F218" s="1"/>
      <c r="G218" s="1"/>
      <c r="H218" s="1"/>
      <c r="I218" s="1"/>
      <c r="J218" s="1"/>
      <c r="K218" s="91"/>
      <c r="L218" s="91"/>
      <c r="M218" s="1"/>
      <c r="N218" s="1"/>
      <c r="O218" s="1"/>
      <c r="P218" s="1"/>
      <c r="Q218" s="1"/>
      <c r="R218" s="1"/>
    </row>
    <row r="219" spans="1:18" ht="15.75" customHeight="1">
      <c r="A219" s="1"/>
      <c r="B219" s="12"/>
      <c r="C219" s="12"/>
      <c r="D219" s="4"/>
      <c r="E219" s="4"/>
      <c r="F219" s="1"/>
      <c r="G219" s="1"/>
      <c r="H219" s="1"/>
      <c r="I219" s="1"/>
      <c r="J219" s="1"/>
      <c r="K219" s="91"/>
      <c r="L219" s="91"/>
      <c r="M219" s="1"/>
      <c r="N219" s="1"/>
      <c r="O219" s="1"/>
      <c r="P219" s="1"/>
      <c r="Q219" s="1"/>
      <c r="R219" s="1"/>
    </row>
    <row r="220" spans="1:18" ht="15.75" customHeight="1">
      <c r="A220" s="1"/>
      <c r="B220" s="12"/>
      <c r="C220" s="12"/>
      <c r="D220" s="4"/>
      <c r="E220" s="4"/>
      <c r="F220" s="1"/>
      <c r="G220" s="1"/>
      <c r="H220" s="1"/>
      <c r="I220" s="1"/>
      <c r="J220" s="1"/>
      <c r="K220" s="91"/>
      <c r="L220" s="91"/>
      <c r="M220" s="1"/>
      <c r="N220" s="1"/>
      <c r="O220" s="1"/>
      <c r="P220" s="1"/>
      <c r="Q220" s="1"/>
      <c r="R220" s="1"/>
    </row>
    <row r="221" spans="1:18" ht="15.75" customHeight="1">
      <c r="A221" s="1"/>
      <c r="B221" s="12"/>
      <c r="C221" s="12"/>
      <c r="D221" s="4"/>
      <c r="E221" s="4"/>
      <c r="F221" s="1"/>
      <c r="G221" s="1"/>
      <c r="H221" s="1"/>
      <c r="I221" s="1"/>
      <c r="J221" s="1"/>
      <c r="K221" s="91"/>
      <c r="L221" s="91"/>
      <c r="M221" s="1"/>
      <c r="N221" s="1"/>
      <c r="O221" s="1"/>
      <c r="P221" s="1"/>
      <c r="Q221" s="1"/>
      <c r="R221" s="1"/>
    </row>
    <row r="222" spans="1:18" ht="15.75" customHeight="1">
      <c r="A222" s="1"/>
      <c r="B222" s="12"/>
      <c r="C222" s="12"/>
      <c r="D222" s="4"/>
      <c r="E222" s="4"/>
      <c r="F222" s="1"/>
      <c r="G222" s="1"/>
      <c r="H222" s="1"/>
      <c r="I222" s="1"/>
      <c r="J222" s="1"/>
      <c r="K222" s="91"/>
      <c r="L222" s="91"/>
      <c r="M222" s="1"/>
      <c r="N222" s="1"/>
      <c r="O222" s="1"/>
      <c r="P222" s="1"/>
      <c r="Q222" s="1"/>
      <c r="R222" s="1"/>
    </row>
    <row r="223" spans="1:18" ht="15.75" customHeight="1">
      <c r="A223" s="1"/>
      <c r="B223" s="12"/>
      <c r="C223" s="12"/>
      <c r="D223" s="4"/>
      <c r="E223" s="4"/>
      <c r="F223" s="1"/>
      <c r="G223" s="1"/>
      <c r="H223" s="1"/>
      <c r="I223" s="1"/>
      <c r="J223" s="1"/>
      <c r="K223" s="91"/>
      <c r="L223" s="91"/>
      <c r="M223" s="1"/>
      <c r="N223" s="1"/>
      <c r="O223" s="1"/>
      <c r="P223" s="1"/>
      <c r="Q223" s="1"/>
      <c r="R223" s="1"/>
    </row>
    <row r="224" spans="1:18" ht="15.75" customHeight="1">
      <c r="A224" s="1"/>
      <c r="B224" s="12"/>
      <c r="C224" s="12"/>
      <c r="D224" s="4"/>
      <c r="E224" s="4"/>
      <c r="F224" s="1"/>
      <c r="G224" s="1"/>
      <c r="H224" s="1"/>
      <c r="I224" s="1"/>
      <c r="J224" s="1"/>
      <c r="K224" s="91"/>
      <c r="L224" s="91"/>
      <c r="M224" s="1"/>
      <c r="N224" s="1"/>
      <c r="O224" s="1"/>
      <c r="P224" s="1"/>
      <c r="Q224" s="1"/>
      <c r="R224" s="1"/>
    </row>
    <row r="225" spans="1:18" ht="15.75" customHeight="1">
      <c r="A225" s="1"/>
      <c r="B225" s="12"/>
      <c r="C225" s="12"/>
      <c r="D225" s="4"/>
      <c r="E225" s="4"/>
      <c r="F225" s="1"/>
      <c r="G225" s="1"/>
      <c r="H225" s="1"/>
      <c r="I225" s="1"/>
      <c r="J225" s="1"/>
      <c r="K225" s="91"/>
      <c r="L225" s="91"/>
      <c r="M225" s="1"/>
      <c r="N225" s="1"/>
      <c r="O225" s="1"/>
      <c r="P225" s="1"/>
      <c r="Q225" s="1"/>
      <c r="R225" s="1"/>
    </row>
    <row r="226" spans="1:18" ht="15.75" customHeight="1">
      <c r="A226" s="1"/>
      <c r="B226" s="12"/>
      <c r="C226" s="12"/>
      <c r="D226" s="4"/>
      <c r="E226" s="4"/>
      <c r="F226" s="1"/>
      <c r="G226" s="1"/>
      <c r="H226" s="1"/>
      <c r="I226" s="1"/>
      <c r="J226" s="1"/>
      <c r="K226" s="91"/>
      <c r="L226" s="91"/>
      <c r="M226" s="1"/>
      <c r="N226" s="1"/>
      <c r="O226" s="1"/>
      <c r="P226" s="1"/>
      <c r="Q226" s="1"/>
      <c r="R226" s="1"/>
    </row>
    <row r="227" spans="1:18" ht="15.75" customHeight="1">
      <c r="A227" s="1"/>
      <c r="B227" s="12"/>
      <c r="C227" s="12"/>
      <c r="D227" s="4"/>
      <c r="E227" s="4"/>
      <c r="F227" s="1"/>
      <c r="G227" s="1"/>
      <c r="H227" s="1"/>
      <c r="I227" s="1"/>
      <c r="J227" s="1"/>
      <c r="K227" s="91"/>
      <c r="L227" s="91"/>
      <c r="M227" s="1"/>
      <c r="N227" s="1"/>
      <c r="O227" s="1"/>
      <c r="P227" s="1"/>
      <c r="Q227" s="1"/>
      <c r="R227" s="1"/>
    </row>
    <row r="228" spans="1:18" ht="15.75" customHeight="1">
      <c r="A228" s="1"/>
      <c r="B228" s="12"/>
      <c r="C228" s="12"/>
      <c r="D228" s="4"/>
      <c r="E228" s="4"/>
      <c r="F228" s="1"/>
      <c r="G228" s="1"/>
      <c r="H228" s="1"/>
      <c r="I228" s="1"/>
      <c r="J228" s="1"/>
      <c r="K228" s="91"/>
      <c r="L228" s="91"/>
      <c r="M228" s="1"/>
      <c r="N228" s="1"/>
      <c r="O228" s="1"/>
      <c r="P228" s="1"/>
      <c r="Q228" s="1"/>
      <c r="R228" s="1"/>
    </row>
    <row r="229" spans="1:18" ht="15.75" customHeight="1">
      <c r="A229" s="1"/>
      <c r="B229" s="12"/>
      <c r="C229" s="12"/>
      <c r="D229" s="4"/>
      <c r="E229" s="4"/>
      <c r="F229" s="1"/>
      <c r="G229" s="1"/>
      <c r="H229" s="1"/>
      <c r="I229" s="1"/>
      <c r="J229" s="1"/>
      <c r="K229" s="91"/>
      <c r="L229" s="91"/>
      <c r="M229" s="1"/>
      <c r="N229" s="1"/>
      <c r="O229" s="1"/>
      <c r="P229" s="1"/>
      <c r="Q229" s="1"/>
      <c r="R229" s="1"/>
    </row>
    <row r="230" spans="1:18" ht="15.75" customHeight="1">
      <c r="A230" s="1"/>
      <c r="B230" s="12"/>
      <c r="C230" s="12"/>
      <c r="D230" s="4"/>
      <c r="E230" s="4"/>
      <c r="F230" s="1"/>
      <c r="G230" s="1"/>
      <c r="H230" s="1"/>
      <c r="I230" s="1"/>
      <c r="J230" s="1"/>
      <c r="K230" s="91"/>
      <c r="L230" s="91"/>
      <c r="M230" s="1"/>
      <c r="N230" s="1"/>
      <c r="O230" s="1"/>
      <c r="P230" s="1"/>
      <c r="Q230" s="1"/>
      <c r="R230" s="1"/>
    </row>
    <row r="231" spans="1:18" ht="15.75" customHeight="1">
      <c r="A231" s="1"/>
      <c r="B231" s="12"/>
      <c r="C231" s="12"/>
      <c r="D231" s="4"/>
      <c r="E231" s="4"/>
      <c r="F231" s="1"/>
      <c r="G231" s="1"/>
      <c r="H231" s="1"/>
      <c r="I231" s="1"/>
      <c r="J231" s="1"/>
      <c r="K231" s="91"/>
      <c r="L231" s="91"/>
      <c r="M231" s="1"/>
      <c r="N231" s="1"/>
      <c r="O231" s="1"/>
      <c r="P231" s="1"/>
      <c r="Q231" s="1"/>
      <c r="R231" s="1"/>
    </row>
    <row r="232" spans="1:18" ht="15.75" customHeight="1">
      <c r="A232" s="1"/>
      <c r="D232" s="4"/>
      <c r="G232" s="1"/>
      <c r="J232" s="1"/>
      <c r="K232" s="91"/>
      <c r="L232" s="91"/>
      <c r="M232" s="1"/>
      <c r="N232" s="1"/>
      <c r="O232" s="1"/>
      <c r="P232" s="1"/>
      <c r="Q232" s="1"/>
      <c r="R232" s="1"/>
    </row>
    <row r="233" spans="1:18" ht="15.75" customHeight="1">
      <c r="A233" s="1"/>
      <c r="D233" s="4"/>
      <c r="G233" s="1"/>
      <c r="J233" s="1"/>
      <c r="K233" s="91"/>
      <c r="L233" s="91"/>
      <c r="M233" s="1"/>
      <c r="N233" s="1"/>
      <c r="O233" s="1"/>
      <c r="P233" s="1"/>
      <c r="Q233" s="1"/>
      <c r="R233" s="1"/>
    </row>
    <row r="234" spans="1:18" ht="15.75" customHeight="1">
      <c r="A234" s="1"/>
      <c r="D234" s="4"/>
      <c r="G234" s="1"/>
      <c r="J234" s="1"/>
      <c r="K234" s="91"/>
      <c r="L234" s="91"/>
      <c r="M234" s="1"/>
      <c r="N234" s="1"/>
      <c r="O234" s="1"/>
      <c r="P234" s="1"/>
      <c r="Q234" s="1"/>
      <c r="R234" s="1"/>
    </row>
    <row r="235" spans="1:18" ht="15.75" customHeight="1">
      <c r="A235" s="1"/>
      <c r="D235" s="4"/>
      <c r="G235" s="1"/>
      <c r="J235" s="1"/>
      <c r="K235" s="91"/>
      <c r="L235" s="91"/>
      <c r="M235" s="1"/>
      <c r="N235" s="1"/>
      <c r="O235" s="1"/>
      <c r="P235" s="1"/>
      <c r="Q235" s="1"/>
      <c r="R235" s="1"/>
    </row>
    <row r="236" spans="1:18" ht="15.75" customHeight="1">
      <c r="A236" s="1"/>
      <c r="J236" s="1"/>
      <c r="K236" s="91"/>
      <c r="L236" s="91"/>
      <c r="M236" s="1"/>
      <c r="N236" s="1"/>
      <c r="O236" s="1"/>
      <c r="P236" s="1"/>
      <c r="Q236" s="1"/>
      <c r="R236" s="1"/>
    </row>
    <row r="237" spans="1:18" ht="15.75" customHeight="1">
      <c r="A237" s="1"/>
      <c r="J237" s="1"/>
      <c r="K237" s="91"/>
      <c r="L237" s="91"/>
      <c r="M237" s="1"/>
      <c r="N237" s="1"/>
      <c r="O237" s="1"/>
      <c r="P237" s="1"/>
      <c r="Q237" s="1"/>
      <c r="R237" s="1"/>
    </row>
    <row r="238" spans="1:18" ht="15.75" customHeight="1"/>
    <row r="239" spans="1:18" ht="15.75" customHeight="1"/>
    <row r="240" spans="1:18"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sheetProtection formatCells="0" formatColumns="0" formatRows="0" insertColumns="0" insertRows="0"/>
  <mergeCells count="4">
    <mergeCell ref="B2:C3"/>
    <mergeCell ref="E2:F3"/>
    <mergeCell ref="H2:I3"/>
    <mergeCell ref="K2:L3"/>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2.6640625" defaultRowHeight="15" customHeight="1"/>
  <cols>
    <col min="1" max="1" width="3.6640625" customWidth="1"/>
    <col min="2" max="2" width="22.109375" customWidth="1"/>
    <col min="3" max="3" width="13.109375" customWidth="1"/>
    <col min="4" max="4" width="7.109375" customWidth="1"/>
    <col min="5" max="5" width="22.109375" customWidth="1"/>
    <col min="6" max="6" width="13.109375" customWidth="1"/>
    <col min="7" max="7" width="7.109375" customWidth="1"/>
    <col min="8" max="8" width="22.109375" customWidth="1"/>
    <col min="9" max="9" width="13.109375" customWidth="1"/>
    <col min="10" max="10" width="7.109375" customWidth="1"/>
    <col min="11" max="11" width="22.109375" customWidth="1"/>
    <col min="12" max="12" width="13.109375" customWidth="1"/>
    <col min="13" max="13" width="6.33203125" customWidth="1"/>
    <col min="14" max="14" width="22.109375" customWidth="1"/>
    <col min="15" max="15" width="13.109375" customWidth="1"/>
    <col min="16" max="16" width="7.33203125" customWidth="1"/>
    <col min="17" max="17" width="6.33203125" customWidth="1"/>
    <col min="18" max="18" width="7.77734375" customWidth="1"/>
    <col min="19" max="19" width="8.6640625" customWidth="1"/>
    <col min="20" max="20" width="9" customWidth="1"/>
    <col min="21" max="21" width="12.77734375" customWidth="1"/>
    <col min="22" max="26" width="14.33203125" customWidth="1"/>
  </cols>
  <sheetData>
    <row r="1" spans="1:26" ht="15.75" customHeight="1">
      <c r="A1" s="1"/>
      <c r="B1" s="1"/>
      <c r="C1" s="1"/>
      <c r="D1" s="1"/>
      <c r="E1" s="1"/>
      <c r="F1" s="1"/>
      <c r="G1" s="1"/>
      <c r="H1" s="1"/>
      <c r="I1" s="1"/>
      <c r="J1" s="1"/>
      <c r="K1" s="1"/>
      <c r="L1" s="1"/>
      <c r="M1" s="1"/>
      <c r="N1" s="1"/>
      <c r="O1" s="1"/>
      <c r="P1" s="1"/>
      <c r="Q1" s="1"/>
      <c r="R1" s="1"/>
      <c r="S1" s="1"/>
      <c r="T1" s="1"/>
      <c r="U1" s="1"/>
      <c r="V1" s="1"/>
      <c r="W1" s="1"/>
      <c r="X1" s="1"/>
      <c r="Y1" s="1"/>
      <c r="Z1" s="1"/>
    </row>
    <row r="2" spans="1:26" ht="13.5" customHeight="1">
      <c r="A2" s="1"/>
      <c r="B2" s="250" t="s">
        <v>22</v>
      </c>
      <c r="C2" s="251"/>
      <c r="D2" s="3"/>
      <c r="E2" s="250" t="s">
        <v>23</v>
      </c>
      <c r="F2" s="251"/>
      <c r="G2" s="13"/>
      <c r="H2" s="250" t="s">
        <v>24</v>
      </c>
      <c r="I2" s="251"/>
      <c r="J2" s="13"/>
      <c r="K2" s="250" t="s">
        <v>25</v>
      </c>
      <c r="L2" s="251"/>
      <c r="M2" s="13"/>
      <c r="N2" s="250" t="s">
        <v>26</v>
      </c>
      <c r="O2" s="251"/>
      <c r="P2" s="3"/>
      <c r="Q2" s="13"/>
      <c r="R2" s="13"/>
      <c r="S2" s="13"/>
      <c r="T2" s="14"/>
      <c r="U2" s="9"/>
      <c r="V2" s="4"/>
      <c r="W2" s="4"/>
      <c r="X2" s="4"/>
      <c r="Y2" s="4"/>
      <c r="Z2" s="1"/>
    </row>
    <row r="3" spans="1:26" ht="13.5" customHeight="1">
      <c r="A3" s="1"/>
      <c r="B3" s="252"/>
      <c r="C3" s="253"/>
      <c r="D3" s="4"/>
      <c r="E3" s="252"/>
      <c r="F3" s="253"/>
      <c r="G3" s="4"/>
      <c r="H3" s="252"/>
      <c r="I3" s="253"/>
      <c r="J3" s="4"/>
      <c r="K3" s="252"/>
      <c r="L3" s="253"/>
      <c r="M3" s="4"/>
      <c r="N3" s="252"/>
      <c r="O3" s="253"/>
      <c r="P3" s="4"/>
      <c r="Q3" s="4"/>
      <c r="R3" s="4"/>
      <c r="S3" s="4"/>
      <c r="T3" s="4"/>
      <c r="U3" s="4"/>
      <c r="V3" s="4"/>
      <c r="W3" s="4"/>
      <c r="X3" s="4"/>
      <c r="Y3" s="4"/>
      <c r="Z3" s="1"/>
    </row>
    <row r="4" spans="1:26" ht="13.5" customHeight="1">
      <c r="A4" s="1"/>
      <c r="B4" s="6" t="s">
        <v>27</v>
      </c>
      <c r="C4" s="15">
        <v>1000</v>
      </c>
      <c r="D4" s="4"/>
      <c r="E4" s="6" t="s">
        <v>28</v>
      </c>
      <c r="F4" s="15">
        <v>3000</v>
      </c>
      <c r="G4" s="4"/>
      <c r="H4" s="7" t="s">
        <v>29</v>
      </c>
      <c r="I4" s="5">
        <v>100</v>
      </c>
      <c r="J4" s="4"/>
      <c r="K4" s="7" t="s">
        <v>29</v>
      </c>
      <c r="L4" s="5">
        <v>40</v>
      </c>
      <c r="M4" s="4"/>
      <c r="N4" s="7" t="s">
        <v>29</v>
      </c>
      <c r="O4" s="5">
        <v>12</v>
      </c>
      <c r="P4" s="4"/>
      <c r="Q4" s="4"/>
      <c r="R4" s="4"/>
      <c r="S4" s="4"/>
      <c r="T4" s="4"/>
      <c r="U4" s="4"/>
      <c r="V4" s="4"/>
      <c r="W4" s="4"/>
      <c r="X4" s="4"/>
      <c r="Y4" s="4"/>
      <c r="Z4" s="1"/>
    </row>
    <row r="5" spans="1:26" ht="13.5" customHeight="1">
      <c r="A5" s="1"/>
      <c r="B5" s="7" t="s">
        <v>14</v>
      </c>
      <c r="C5" s="16">
        <v>175</v>
      </c>
      <c r="D5" s="4"/>
      <c r="E5" s="7" t="s">
        <v>30</v>
      </c>
      <c r="F5" s="16">
        <v>50</v>
      </c>
      <c r="G5" s="4"/>
      <c r="H5" s="7" t="s">
        <v>31</v>
      </c>
      <c r="I5" s="16">
        <v>0</v>
      </c>
      <c r="J5" s="4"/>
      <c r="K5" s="7" t="s">
        <v>31</v>
      </c>
      <c r="L5" s="16">
        <v>125</v>
      </c>
      <c r="M5" s="4"/>
      <c r="N5" s="7" t="s">
        <v>31</v>
      </c>
      <c r="O5" s="16">
        <v>200</v>
      </c>
      <c r="P5" s="4"/>
      <c r="Q5" s="4"/>
      <c r="R5" s="4"/>
      <c r="S5" s="4"/>
      <c r="T5" s="4"/>
      <c r="U5" s="4"/>
      <c r="V5" s="4"/>
      <c r="W5" s="4"/>
      <c r="X5" s="4"/>
      <c r="Y5" s="4"/>
      <c r="Z5" s="1"/>
    </row>
    <row r="6" spans="1:26" ht="13.5" customHeight="1">
      <c r="A6" s="1"/>
      <c r="B6" s="7" t="s">
        <v>15</v>
      </c>
      <c r="C6" s="5">
        <f>C7+C8+C9</f>
        <v>23</v>
      </c>
      <c r="D6" s="4"/>
      <c r="E6" s="7" t="s">
        <v>32</v>
      </c>
      <c r="F6" s="16">
        <v>12</v>
      </c>
      <c r="G6" s="4"/>
      <c r="H6" s="6" t="s">
        <v>5</v>
      </c>
      <c r="I6" s="15">
        <f>SUM(I5)*I4</f>
        <v>0</v>
      </c>
      <c r="J6" s="4"/>
      <c r="K6" s="6" t="s">
        <v>5</v>
      </c>
      <c r="L6" s="15">
        <f>SUM(L5)*L4</f>
        <v>5000</v>
      </c>
      <c r="M6" s="4"/>
      <c r="N6" s="6" t="s">
        <v>5</v>
      </c>
      <c r="O6" s="15">
        <f>SUM(O5)*O4</f>
        <v>2400</v>
      </c>
      <c r="P6" s="4"/>
      <c r="Q6" s="4"/>
      <c r="R6" s="4"/>
      <c r="S6" s="4"/>
      <c r="T6" s="4"/>
      <c r="U6" s="4"/>
      <c r="V6" s="4"/>
      <c r="W6" s="4"/>
      <c r="X6" s="4"/>
      <c r="Y6" s="4"/>
      <c r="Z6" s="1"/>
    </row>
    <row r="7" spans="1:26" ht="13.5" customHeight="1">
      <c r="A7" s="1"/>
      <c r="B7" s="17" t="s">
        <v>33</v>
      </c>
      <c r="C7" s="5">
        <v>16</v>
      </c>
      <c r="D7" s="4"/>
      <c r="E7" s="6" t="s">
        <v>34</v>
      </c>
      <c r="F7" s="15">
        <f>F5*F6</f>
        <v>600</v>
      </c>
      <c r="G7" s="4"/>
      <c r="H7" s="7" t="s">
        <v>30</v>
      </c>
      <c r="I7" s="16">
        <v>150</v>
      </c>
      <c r="J7" s="4"/>
      <c r="K7" s="7" t="s">
        <v>30</v>
      </c>
      <c r="L7" s="16">
        <v>0</v>
      </c>
      <c r="M7" s="4"/>
      <c r="N7" s="7" t="s">
        <v>30</v>
      </c>
      <c r="O7" s="16">
        <v>0</v>
      </c>
      <c r="P7" s="4"/>
      <c r="Q7" s="4"/>
      <c r="R7" s="4"/>
      <c r="S7" s="4"/>
      <c r="T7" s="4"/>
      <c r="U7" s="4"/>
      <c r="V7" s="4"/>
      <c r="W7" s="4"/>
      <c r="X7" s="4"/>
      <c r="Y7" s="4"/>
      <c r="Z7" s="1"/>
    </row>
    <row r="8" spans="1:26" ht="13.5" customHeight="1">
      <c r="A8" s="1"/>
      <c r="B8" s="17" t="s">
        <v>35</v>
      </c>
      <c r="C8" s="5">
        <v>2</v>
      </c>
      <c r="D8" s="4"/>
      <c r="E8" s="6" t="s">
        <v>27</v>
      </c>
      <c r="F8" s="15">
        <v>1000</v>
      </c>
      <c r="G8" s="4"/>
      <c r="H8" s="7" t="s">
        <v>32</v>
      </c>
      <c r="I8" s="5">
        <v>4</v>
      </c>
      <c r="J8" s="4"/>
      <c r="K8" s="7" t="s">
        <v>32</v>
      </c>
      <c r="L8" s="5">
        <v>0</v>
      </c>
      <c r="M8" s="4"/>
      <c r="N8" s="7" t="s">
        <v>32</v>
      </c>
      <c r="O8" s="5">
        <v>12</v>
      </c>
      <c r="P8" s="4"/>
      <c r="Q8" s="4"/>
      <c r="R8" s="4"/>
      <c r="S8" s="4"/>
      <c r="T8" s="4"/>
      <c r="U8" s="4"/>
      <c r="V8" s="4"/>
      <c r="W8" s="4"/>
      <c r="X8" s="4"/>
      <c r="Y8" s="4"/>
      <c r="Z8" s="1"/>
    </row>
    <row r="9" spans="1:26" ht="13.5" customHeight="1">
      <c r="A9" s="1"/>
      <c r="B9" s="17" t="s">
        <v>36</v>
      </c>
      <c r="C9" s="5">
        <v>5</v>
      </c>
      <c r="D9" s="4"/>
      <c r="E9" s="6" t="s">
        <v>37</v>
      </c>
      <c r="F9" s="15">
        <v>600</v>
      </c>
      <c r="G9" s="4"/>
      <c r="H9" s="6" t="s">
        <v>34</v>
      </c>
      <c r="I9" s="15">
        <f>I7*I8</f>
        <v>600</v>
      </c>
      <c r="J9" s="4"/>
      <c r="K9" s="6" t="s">
        <v>34</v>
      </c>
      <c r="L9" s="15">
        <f>L7*L4</f>
        <v>0</v>
      </c>
      <c r="M9" s="4"/>
      <c r="N9" s="6" t="s">
        <v>34</v>
      </c>
      <c r="O9" s="15">
        <f>O7*O4</f>
        <v>0</v>
      </c>
      <c r="P9" s="4"/>
      <c r="Q9" s="4"/>
      <c r="R9" s="4"/>
      <c r="S9" s="4"/>
      <c r="T9" s="4"/>
      <c r="U9" s="4"/>
      <c r="V9" s="4"/>
      <c r="W9" s="4"/>
      <c r="X9" s="4"/>
      <c r="Y9" s="4"/>
      <c r="Z9" s="1"/>
    </row>
    <row r="10" spans="1:26" ht="13.5" customHeight="1">
      <c r="A10" s="1"/>
      <c r="B10" s="6" t="s">
        <v>18</v>
      </c>
      <c r="C10" s="15">
        <f>C5*C6</f>
        <v>4025</v>
      </c>
      <c r="D10" s="4"/>
      <c r="E10" s="7" t="s">
        <v>14</v>
      </c>
      <c r="F10" s="16">
        <v>175</v>
      </c>
      <c r="G10" s="4"/>
      <c r="H10" s="6" t="s">
        <v>27</v>
      </c>
      <c r="I10" s="15">
        <v>1000</v>
      </c>
      <c r="J10" s="4"/>
      <c r="K10" s="6" t="s">
        <v>27</v>
      </c>
      <c r="L10" s="15">
        <v>1000</v>
      </c>
      <c r="M10" s="4"/>
      <c r="N10" s="6" t="s">
        <v>27</v>
      </c>
      <c r="O10" s="15">
        <v>1000</v>
      </c>
      <c r="P10" s="4"/>
      <c r="Q10" s="4"/>
      <c r="R10" s="4"/>
      <c r="S10" s="4"/>
      <c r="T10" s="4"/>
      <c r="U10" s="4"/>
      <c r="V10" s="4"/>
      <c r="W10" s="4"/>
      <c r="X10" s="4"/>
      <c r="Y10" s="4"/>
      <c r="Z10" s="1"/>
    </row>
    <row r="11" spans="1:26" ht="13.5" customHeight="1">
      <c r="A11" s="1"/>
      <c r="B11" s="18" t="s">
        <v>38</v>
      </c>
      <c r="C11" s="19">
        <f>C4+C10</f>
        <v>5025</v>
      </c>
      <c r="D11" s="4"/>
      <c r="E11" s="7" t="s">
        <v>15</v>
      </c>
      <c r="F11" s="5">
        <f>SUM(F12:F14)</f>
        <v>70</v>
      </c>
      <c r="G11" s="4"/>
      <c r="H11" s="6" t="s">
        <v>37</v>
      </c>
      <c r="I11" s="15">
        <v>600</v>
      </c>
      <c r="J11" s="4"/>
      <c r="K11" s="6" t="s">
        <v>37</v>
      </c>
      <c r="L11" s="15">
        <v>1200</v>
      </c>
      <c r="M11" s="4"/>
      <c r="N11" s="6" t="s">
        <v>37</v>
      </c>
      <c r="O11" s="15">
        <v>600</v>
      </c>
      <c r="P11" s="4"/>
      <c r="Q11" s="4"/>
      <c r="R11" s="4"/>
      <c r="S11" s="4"/>
      <c r="T11" s="4"/>
      <c r="U11" s="4"/>
      <c r="V11" s="4"/>
      <c r="W11" s="4"/>
      <c r="X11" s="4"/>
      <c r="Y11" s="4"/>
      <c r="Z11" s="1"/>
    </row>
    <row r="12" spans="1:26" ht="13.5" customHeight="1">
      <c r="A12" s="1"/>
      <c r="B12" s="20" t="s">
        <v>21</v>
      </c>
      <c r="C12" s="21">
        <f>C11*2</f>
        <v>10050</v>
      </c>
      <c r="D12" s="4"/>
      <c r="E12" s="17" t="s">
        <v>39</v>
      </c>
      <c r="F12" s="5">
        <v>40</v>
      </c>
      <c r="G12" s="4"/>
      <c r="H12" s="7" t="s">
        <v>14</v>
      </c>
      <c r="I12" s="16">
        <v>175</v>
      </c>
      <c r="J12" s="4"/>
      <c r="K12" s="7" t="s">
        <v>14</v>
      </c>
      <c r="L12" s="16">
        <v>175</v>
      </c>
      <c r="M12" s="4"/>
      <c r="N12" s="7" t="s">
        <v>14</v>
      </c>
      <c r="O12" s="16">
        <v>175</v>
      </c>
      <c r="P12" s="4"/>
      <c r="Q12" s="4"/>
      <c r="R12" s="4"/>
      <c r="S12" s="4"/>
      <c r="T12" s="4"/>
      <c r="U12" s="4"/>
      <c r="V12" s="4"/>
      <c r="W12" s="4"/>
      <c r="X12" s="4"/>
      <c r="Y12" s="4"/>
      <c r="Z12" s="1"/>
    </row>
    <row r="13" spans="1:26" ht="13.5" customHeight="1">
      <c r="A13" s="1"/>
      <c r="B13" s="22"/>
      <c r="C13" s="4"/>
      <c r="D13" s="4"/>
      <c r="E13" s="17" t="s">
        <v>40</v>
      </c>
      <c r="F13" s="5">
        <v>15</v>
      </c>
      <c r="G13" s="4"/>
      <c r="H13" s="7" t="s">
        <v>15</v>
      </c>
      <c r="I13" s="5">
        <f>SUM(I14:I16)</f>
        <v>40</v>
      </c>
      <c r="J13" s="4"/>
      <c r="K13" s="7" t="s">
        <v>15</v>
      </c>
      <c r="L13" s="5">
        <f>SUM(L14:L16)</f>
        <v>40</v>
      </c>
      <c r="M13" s="4"/>
      <c r="N13" s="7" t="s">
        <v>15</v>
      </c>
      <c r="O13" s="5">
        <f>SUM(O14:O16)</f>
        <v>34</v>
      </c>
      <c r="P13" s="4"/>
      <c r="Q13" s="4"/>
      <c r="R13" s="4"/>
      <c r="S13" s="4"/>
      <c r="T13" s="4"/>
      <c r="U13" s="4"/>
      <c r="V13" s="4"/>
      <c r="W13" s="4"/>
      <c r="X13" s="4"/>
      <c r="Y13" s="4"/>
      <c r="Z13" s="1"/>
    </row>
    <row r="14" spans="1:26" ht="13.5" customHeight="1">
      <c r="A14" s="1"/>
      <c r="B14" s="4"/>
      <c r="C14" s="4"/>
      <c r="D14" s="4"/>
      <c r="E14" s="17" t="s">
        <v>36</v>
      </c>
      <c r="F14" s="5">
        <v>15</v>
      </c>
      <c r="G14" s="4"/>
      <c r="H14" s="17" t="s">
        <v>39</v>
      </c>
      <c r="I14" s="5">
        <v>20</v>
      </c>
      <c r="J14" s="4"/>
      <c r="K14" s="17" t="s">
        <v>39</v>
      </c>
      <c r="L14" s="5">
        <v>20</v>
      </c>
      <c r="M14" s="4"/>
      <c r="N14" s="17" t="s">
        <v>39</v>
      </c>
      <c r="O14" s="5">
        <v>16</v>
      </c>
      <c r="P14" s="4"/>
      <c r="Q14" s="4"/>
      <c r="R14" s="4"/>
      <c r="S14" s="4"/>
      <c r="T14" s="4"/>
      <c r="U14" s="4"/>
      <c r="V14" s="4"/>
      <c r="W14" s="4"/>
      <c r="X14" s="4"/>
      <c r="Y14" s="4"/>
      <c r="Z14" s="1"/>
    </row>
    <row r="15" spans="1:26" ht="13.5" customHeight="1">
      <c r="A15" s="1"/>
      <c r="B15" s="4"/>
      <c r="C15" s="4"/>
      <c r="D15" s="4"/>
      <c r="E15" s="6" t="s">
        <v>18</v>
      </c>
      <c r="F15" s="15">
        <f>F10*F11</f>
        <v>12250</v>
      </c>
      <c r="G15" s="4"/>
      <c r="H15" s="17" t="s">
        <v>40</v>
      </c>
      <c r="I15" s="5">
        <v>10</v>
      </c>
      <c r="J15" s="4"/>
      <c r="K15" s="17" t="s">
        <v>40</v>
      </c>
      <c r="L15" s="5">
        <v>10</v>
      </c>
      <c r="M15" s="4"/>
      <c r="N15" s="17" t="s">
        <v>40</v>
      </c>
      <c r="O15" s="5">
        <v>10</v>
      </c>
      <c r="P15" s="4"/>
      <c r="Q15" s="4"/>
      <c r="R15" s="4"/>
      <c r="S15" s="4"/>
      <c r="T15" s="4"/>
      <c r="U15" s="4"/>
      <c r="V15" s="4"/>
      <c r="W15" s="4"/>
      <c r="X15" s="4"/>
      <c r="Y15" s="4"/>
      <c r="Z15" s="1"/>
    </row>
    <row r="16" spans="1:26" ht="13.5" customHeight="1">
      <c r="A16" s="1"/>
      <c r="B16" s="4"/>
      <c r="C16" s="4"/>
      <c r="D16" s="4"/>
      <c r="E16" s="18" t="s">
        <v>38</v>
      </c>
      <c r="F16" s="19">
        <f>F4+F7+F8+F9+F15</f>
        <v>17450</v>
      </c>
      <c r="G16" s="4"/>
      <c r="H16" s="17" t="s">
        <v>36</v>
      </c>
      <c r="I16" s="5">
        <v>10</v>
      </c>
      <c r="J16" s="4"/>
      <c r="K16" s="17" t="s">
        <v>36</v>
      </c>
      <c r="L16" s="5">
        <v>10</v>
      </c>
      <c r="M16" s="4"/>
      <c r="N16" s="17" t="s">
        <v>36</v>
      </c>
      <c r="O16" s="5">
        <v>8</v>
      </c>
      <c r="P16" s="4"/>
      <c r="Q16" s="4"/>
      <c r="R16" s="4"/>
      <c r="S16" s="4"/>
      <c r="T16" s="4"/>
      <c r="U16" s="4"/>
      <c r="V16" s="4"/>
      <c r="W16" s="4"/>
      <c r="X16" s="4"/>
      <c r="Y16" s="4"/>
      <c r="Z16" s="1"/>
    </row>
    <row r="17" spans="1:26" ht="13.5" customHeight="1">
      <c r="A17" s="1"/>
      <c r="B17" s="1"/>
      <c r="C17" s="1"/>
      <c r="D17" s="4"/>
      <c r="E17" s="20" t="s">
        <v>21</v>
      </c>
      <c r="F17" s="21">
        <f>F16*2</f>
        <v>34900</v>
      </c>
      <c r="G17" s="4"/>
      <c r="H17" s="6" t="s">
        <v>18</v>
      </c>
      <c r="I17" s="15">
        <f>I12*I13</f>
        <v>7000</v>
      </c>
      <c r="J17" s="4"/>
      <c r="K17" s="6" t="s">
        <v>18</v>
      </c>
      <c r="L17" s="15">
        <f>L12*L13</f>
        <v>7000</v>
      </c>
      <c r="M17" s="4"/>
      <c r="N17" s="6" t="s">
        <v>18</v>
      </c>
      <c r="O17" s="15">
        <f>O12*O13</f>
        <v>5950</v>
      </c>
      <c r="P17" s="4"/>
      <c r="Q17" s="4"/>
      <c r="R17" s="4"/>
      <c r="S17" s="4"/>
      <c r="T17" s="4"/>
      <c r="U17" s="4"/>
      <c r="V17" s="4"/>
      <c r="W17" s="4"/>
      <c r="X17" s="4"/>
      <c r="Y17" s="4"/>
      <c r="Z17" s="1"/>
    </row>
    <row r="18" spans="1:26" ht="13.5" customHeight="1">
      <c r="A18" s="1"/>
      <c r="B18" s="1"/>
      <c r="C18" s="1"/>
      <c r="D18" s="4"/>
      <c r="E18" s="4"/>
      <c r="F18" s="4"/>
      <c r="G18" s="4"/>
      <c r="H18" s="18" t="s">
        <v>38</v>
      </c>
      <c r="I18" s="19">
        <f>I6+I9+I10+I11+I17</f>
        <v>9200</v>
      </c>
      <c r="J18" s="4"/>
      <c r="K18" s="18" t="s">
        <v>38</v>
      </c>
      <c r="L18" s="19">
        <f>L6+L9+L10+L11+L17</f>
        <v>14200</v>
      </c>
      <c r="M18" s="4"/>
      <c r="N18" s="18" t="s">
        <v>38</v>
      </c>
      <c r="O18" s="19">
        <f>O6+O9+O10+O11+O17</f>
        <v>9950</v>
      </c>
      <c r="P18" s="4"/>
      <c r="Q18" s="4"/>
      <c r="R18" s="4"/>
      <c r="S18" s="4"/>
      <c r="T18" s="4"/>
      <c r="U18" s="4"/>
      <c r="V18" s="4"/>
      <c r="W18" s="4"/>
      <c r="X18" s="4"/>
      <c r="Y18" s="4"/>
      <c r="Z18" s="1"/>
    </row>
    <row r="19" spans="1:26" ht="13.5" customHeight="1">
      <c r="A19" s="1"/>
      <c r="B19" s="4"/>
      <c r="C19" s="4"/>
      <c r="D19" s="4"/>
      <c r="E19" s="4"/>
      <c r="F19" s="4"/>
      <c r="G19" s="4"/>
      <c r="H19" s="20" t="s">
        <v>21</v>
      </c>
      <c r="I19" s="21">
        <f>I18*2</f>
        <v>18400</v>
      </c>
      <c r="J19" s="4"/>
      <c r="K19" s="20" t="s">
        <v>21</v>
      </c>
      <c r="L19" s="21">
        <f>L18*2</f>
        <v>28400</v>
      </c>
      <c r="M19" s="4"/>
      <c r="N19" s="20" t="s">
        <v>21</v>
      </c>
      <c r="O19" s="21">
        <f>O18*2</f>
        <v>19900</v>
      </c>
      <c r="P19" s="4"/>
      <c r="Q19" s="4"/>
      <c r="R19" s="4"/>
      <c r="S19" s="4"/>
      <c r="T19" s="4"/>
      <c r="U19" s="4"/>
      <c r="V19" s="4"/>
      <c r="W19" s="4"/>
      <c r="X19" s="4"/>
      <c r="Y19" s="4"/>
      <c r="Z19" s="1"/>
    </row>
    <row r="20" spans="1:26" ht="13.5" customHeight="1">
      <c r="A20" s="1"/>
      <c r="B20" s="4"/>
      <c r="C20" s="4"/>
      <c r="D20" s="4"/>
      <c r="E20" s="4"/>
      <c r="F20" s="4"/>
      <c r="G20" s="4"/>
      <c r="H20" s="4"/>
      <c r="I20" s="4"/>
      <c r="J20" s="4"/>
      <c r="K20" s="4"/>
      <c r="L20" s="4"/>
      <c r="M20" s="4"/>
      <c r="N20" s="4"/>
      <c r="O20" s="4"/>
      <c r="P20" s="4"/>
      <c r="Q20" s="4"/>
      <c r="R20" s="4"/>
      <c r="S20" s="4"/>
      <c r="T20" s="4"/>
      <c r="U20" s="4"/>
      <c r="V20" s="4"/>
      <c r="W20" s="4"/>
      <c r="X20" s="4"/>
      <c r="Y20" s="4"/>
      <c r="Z20" s="1"/>
    </row>
    <row r="21" spans="1:26" ht="13.5" customHeight="1">
      <c r="A21" s="1"/>
      <c r="B21" s="4"/>
      <c r="C21" s="4"/>
      <c r="D21" s="4"/>
      <c r="E21" s="4"/>
      <c r="F21" s="4"/>
      <c r="G21" s="4"/>
      <c r="H21" s="4"/>
      <c r="I21" s="4"/>
      <c r="J21" s="4"/>
      <c r="K21" s="4"/>
      <c r="L21" s="4"/>
      <c r="M21" s="4"/>
      <c r="N21" s="4"/>
      <c r="O21" s="4"/>
      <c r="P21" s="4"/>
      <c r="Q21" s="4"/>
      <c r="R21" s="4"/>
      <c r="S21" s="4"/>
      <c r="T21" s="4"/>
      <c r="U21" s="4"/>
      <c r="V21" s="4"/>
      <c r="W21" s="4"/>
      <c r="X21" s="4"/>
      <c r="Y21" s="4"/>
      <c r="Z21" s="1"/>
    </row>
    <row r="22" spans="1:26" ht="13.5" customHeight="1">
      <c r="A22" s="1"/>
      <c r="B22" s="4"/>
      <c r="C22" s="4"/>
      <c r="D22" s="4"/>
      <c r="E22" s="4"/>
      <c r="F22" s="4"/>
      <c r="G22" s="4"/>
      <c r="H22" s="4"/>
      <c r="I22" s="4"/>
      <c r="J22" s="4"/>
      <c r="K22" s="4"/>
      <c r="L22" s="4"/>
      <c r="M22" s="4"/>
      <c r="N22" s="4"/>
      <c r="O22" s="4"/>
      <c r="P22" s="4"/>
      <c r="Q22" s="4"/>
      <c r="R22" s="4"/>
      <c r="S22" s="4"/>
      <c r="T22" s="4"/>
      <c r="U22" s="4"/>
      <c r="V22" s="4"/>
      <c r="W22" s="4"/>
      <c r="X22" s="4"/>
      <c r="Y22" s="4"/>
      <c r="Z22" s="1"/>
    </row>
    <row r="23" spans="1:26" ht="13.5" customHeight="1">
      <c r="A23" s="1"/>
      <c r="B23" s="4"/>
      <c r="C23" s="4"/>
      <c r="D23" s="4"/>
      <c r="E23" s="4"/>
      <c r="F23" s="4"/>
      <c r="G23" s="4"/>
      <c r="H23" s="4"/>
      <c r="I23" s="4"/>
      <c r="J23" s="4"/>
      <c r="K23" s="4"/>
      <c r="L23" s="4"/>
      <c r="M23" s="4"/>
      <c r="N23" s="4"/>
      <c r="O23" s="4"/>
      <c r="P23" s="4"/>
      <c r="Q23" s="4"/>
      <c r="R23" s="4"/>
      <c r="S23" s="4"/>
      <c r="T23" s="4"/>
      <c r="U23" s="4"/>
      <c r="V23" s="4"/>
      <c r="W23" s="4"/>
      <c r="X23" s="4"/>
      <c r="Y23" s="4"/>
      <c r="Z23" s="1"/>
    </row>
    <row r="24" spans="1:26" ht="13.5" customHeight="1">
      <c r="A24" s="1"/>
      <c r="B24" s="4"/>
      <c r="C24" s="4"/>
      <c r="D24" s="4"/>
      <c r="E24" s="4"/>
      <c r="F24" s="4"/>
      <c r="G24" s="4"/>
      <c r="H24" s="4"/>
      <c r="I24" s="4"/>
      <c r="J24" s="4"/>
      <c r="K24" s="4"/>
      <c r="L24" s="4"/>
      <c r="M24" s="4"/>
      <c r="N24" s="4"/>
      <c r="O24" s="4"/>
      <c r="P24" s="4"/>
      <c r="Q24" s="4"/>
      <c r="R24" s="4"/>
      <c r="S24" s="4"/>
      <c r="T24" s="4"/>
      <c r="U24" s="4"/>
      <c r="V24" s="4"/>
      <c r="W24" s="4"/>
      <c r="X24" s="4"/>
      <c r="Y24" s="4"/>
      <c r="Z24" s="1"/>
    </row>
    <row r="25" spans="1:26" ht="13.5" customHeight="1">
      <c r="A25" s="1"/>
      <c r="B25" s="4"/>
      <c r="C25" s="4"/>
      <c r="D25" s="4"/>
      <c r="E25" s="4"/>
      <c r="F25" s="4"/>
      <c r="G25" s="4"/>
      <c r="H25" s="4"/>
      <c r="I25" s="4"/>
      <c r="J25" s="4"/>
      <c r="K25" s="4"/>
      <c r="L25" s="4"/>
      <c r="M25" s="4"/>
      <c r="N25" s="4"/>
      <c r="O25" s="4"/>
      <c r="P25" s="4"/>
      <c r="Q25" s="4"/>
      <c r="R25" s="4"/>
      <c r="S25" s="4"/>
      <c r="T25" s="4"/>
      <c r="U25" s="4"/>
      <c r="V25" s="4"/>
      <c r="W25" s="4"/>
      <c r="X25" s="4"/>
      <c r="Y25" s="4"/>
      <c r="Z25" s="1"/>
    </row>
    <row r="26" spans="1:26" ht="13.5" customHeight="1">
      <c r="A26" s="1"/>
      <c r="B26" s="4"/>
      <c r="C26" s="4"/>
      <c r="D26" s="4"/>
      <c r="E26" s="4"/>
      <c r="F26" s="4"/>
      <c r="G26" s="4"/>
      <c r="H26" s="4"/>
      <c r="I26" s="4"/>
      <c r="J26" s="4"/>
      <c r="K26" s="4"/>
      <c r="L26" s="4"/>
      <c r="M26" s="4"/>
      <c r="N26" s="4"/>
      <c r="O26" s="4"/>
      <c r="P26" s="4"/>
      <c r="Q26" s="4"/>
      <c r="R26" s="4"/>
      <c r="S26" s="4"/>
      <c r="T26" s="4"/>
      <c r="U26" s="4"/>
      <c r="V26" s="4"/>
      <c r="W26" s="4"/>
      <c r="X26" s="4"/>
      <c r="Y26" s="4"/>
      <c r="Z26" s="1"/>
    </row>
    <row r="27" spans="1:26" ht="13.5" customHeight="1">
      <c r="A27" s="1"/>
      <c r="B27" s="4"/>
      <c r="C27" s="4"/>
      <c r="D27" s="4"/>
      <c r="E27" s="4"/>
      <c r="F27" s="4"/>
      <c r="G27" s="4"/>
      <c r="H27" s="4"/>
      <c r="I27" s="4"/>
      <c r="J27" s="4"/>
      <c r="K27" s="4"/>
      <c r="L27" s="4"/>
      <c r="M27" s="4"/>
      <c r="N27" s="4"/>
      <c r="O27" s="4"/>
      <c r="P27" s="4"/>
      <c r="Q27" s="4"/>
      <c r="R27" s="4"/>
      <c r="S27" s="4"/>
      <c r="T27" s="4"/>
      <c r="U27" s="4"/>
      <c r="V27" s="4"/>
      <c r="W27" s="4"/>
      <c r="X27" s="4"/>
      <c r="Y27" s="4"/>
      <c r="Z27" s="1"/>
    </row>
    <row r="28" spans="1:26" ht="13.5" customHeight="1">
      <c r="A28" s="1"/>
      <c r="B28" s="4"/>
      <c r="C28" s="4"/>
      <c r="D28" s="4"/>
      <c r="E28" s="4"/>
      <c r="F28" s="4"/>
      <c r="G28" s="4"/>
      <c r="H28" s="4"/>
      <c r="I28" s="4"/>
      <c r="J28" s="4"/>
      <c r="K28" s="4"/>
      <c r="L28" s="4"/>
      <c r="M28" s="4"/>
      <c r="N28" s="4"/>
      <c r="O28" s="4"/>
      <c r="P28" s="4"/>
      <c r="Q28" s="4"/>
      <c r="R28" s="4"/>
      <c r="S28" s="4"/>
      <c r="T28" s="4"/>
      <c r="U28" s="4"/>
      <c r="V28" s="4"/>
      <c r="W28" s="4"/>
      <c r="X28" s="4"/>
      <c r="Y28" s="4"/>
      <c r="Z28" s="1"/>
    </row>
    <row r="29" spans="1:26" ht="13.5" customHeight="1">
      <c r="A29" s="1"/>
      <c r="B29" s="4"/>
      <c r="C29" s="4"/>
      <c r="D29" s="4"/>
      <c r="E29" s="4"/>
      <c r="F29" s="4"/>
      <c r="G29" s="4"/>
      <c r="H29" s="4"/>
      <c r="I29" s="4"/>
      <c r="J29" s="4"/>
      <c r="K29" s="4"/>
      <c r="L29" s="4"/>
      <c r="M29" s="4"/>
      <c r="N29" s="4"/>
      <c r="O29" s="4"/>
      <c r="P29" s="4"/>
      <c r="Q29" s="4"/>
      <c r="R29" s="4"/>
      <c r="S29" s="4"/>
      <c r="T29" s="4"/>
      <c r="U29" s="4"/>
      <c r="V29" s="4"/>
      <c r="W29" s="4"/>
      <c r="X29" s="4"/>
      <c r="Y29" s="4"/>
      <c r="Z29" s="1"/>
    </row>
    <row r="30" spans="1:26" ht="13.5" customHeight="1">
      <c r="A30" s="1"/>
      <c r="B30" s="4"/>
      <c r="C30" s="4"/>
      <c r="D30" s="4"/>
      <c r="E30" s="4"/>
      <c r="F30" s="4"/>
      <c r="G30" s="4"/>
      <c r="H30" s="4"/>
      <c r="I30" s="4"/>
      <c r="J30" s="4"/>
      <c r="K30" s="4"/>
      <c r="L30" s="4"/>
      <c r="M30" s="4"/>
      <c r="N30" s="4"/>
      <c r="O30" s="4"/>
      <c r="P30" s="4"/>
      <c r="Q30" s="4"/>
      <c r="R30" s="4"/>
      <c r="S30" s="4"/>
      <c r="T30" s="4"/>
      <c r="U30" s="4"/>
      <c r="V30" s="4"/>
      <c r="W30" s="4"/>
      <c r="X30" s="4"/>
      <c r="Y30" s="4"/>
      <c r="Z30" s="1"/>
    </row>
    <row r="31" spans="1:26" ht="13.5" customHeight="1">
      <c r="A31" s="1"/>
      <c r="B31" s="4"/>
      <c r="C31" s="4"/>
      <c r="D31" s="4"/>
      <c r="E31" s="4"/>
      <c r="F31" s="4"/>
      <c r="G31" s="4"/>
      <c r="H31" s="4"/>
      <c r="I31" s="4"/>
      <c r="J31" s="4"/>
      <c r="K31" s="4"/>
      <c r="L31" s="4"/>
      <c r="M31" s="4"/>
      <c r="N31" s="4"/>
      <c r="O31" s="4"/>
      <c r="P31" s="4"/>
      <c r="Q31" s="4"/>
      <c r="R31" s="4"/>
      <c r="S31" s="4"/>
      <c r="T31" s="4"/>
      <c r="U31" s="4"/>
      <c r="V31" s="4"/>
      <c r="W31" s="4"/>
      <c r="X31" s="4"/>
      <c r="Y31" s="4"/>
      <c r="Z31" s="1"/>
    </row>
    <row r="32" spans="1:26" ht="13.5" customHeight="1">
      <c r="A32" s="1"/>
      <c r="B32" s="4"/>
      <c r="C32" s="4"/>
      <c r="D32" s="4"/>
      <c r="E32" s="4"/>
      <c r="F32" s="4"/>
      <c r="G32" s="4"/>
      <c r="H32" s="4"/>
      <c r="I32" s="4"/>
      <c r="J32" s="4"/>
      <c r="K32" s="4"/>
      <c r="L32" s="4"/>
      <c r="M32" s="4"/>
      <c r="N32" s="4"/>
      <c r="O32" s="4"/>
      <c r="P32" s="4"/>
      <c r="Q32" s="4"/>
      <c r="R32" s="4"/>
      <c r="S32" s="4"/>
      <c r="T32" s="4"/>
      <c r="U32" s="4"/>
      <c r="V32" s="4"/>
      <c r="W32" s="4"/>
      <c r="X32" s="4"/>
      <c r="Y32" s="4"/>
      <c r="Z32" s="1"/>
    </row>
    <row r="33" spans="1:26" ht="13.5" customHeight="1">
      <c r="A33" s="1"/>
      <c r="B33" s="4"/>
      <c r="C33" s="4"/>
      <c r="D33" s="4"/>
      <c r="E33" s="4"/>
      <c r="F33" s="4"/>
      <c r="G33" s="4"/>
      <c r="H33" s="4"/>
      <c r="I33" s="4"/>
      <c r="J33" s="4"/>
      <c r="K33" s="4"/>
      <c r="L33" s="4"/>
      <c r="M33" s="4"/>
      <c r="N33" s="4"/>
      <c r="O33" s="4"/>
      <c r="P33" s="4"/>
      <c r="Q33" s="4"/>
      <c r="R33" s="4"/>
      <c r="S33" s="4"/>
      <c r="T33" s="4"/>
      <c r="U33" s="4"/>
      <c r="V33" s="4"/>
      <c r="W33" s="4"/>
      <c r="X33" s="4"/>
      <c r="Y33" s="4"/>
      <c r="Z33" s="1"/>
    </row>
    <row r="34" spans="1:26" ht="13.5" customHeight="1">
      <c r="A34" s="1"/>
      <c r="B34" s="4"/>
      <c r="C34" s="4"/>
      <c r="D34" s="4"/>
      <c r="E34" s="4"/>
      <c r="F34" s="4"/>
      <c r="G34" s="4"/>
      <c r="H34" s="4"/>
      <c r="I34" s="4"/>
      <c r="J34" s="4"/>
      <c r="K34" s="4"/>
      <c r="L34" s="4"/>
      <c r="M34" s="4"/>
      <c r="N34" s="4"/>
      <c r="O34" s="4"/>
      <c r="P34" s="4"/>
      <c r="Q34" s="4"/>
      <c r="R34" s="4"/>
      <c r="S34" s="4"/>
      <c r="T34" s="4"/>
      <c r="U34" s="4"/>
      <c r="V34" s="4"/>
      <c r="W34" s="4"/>
      <c r="X34" s="4"/>
      <c r="Y34" s="4"/>
      <c r="Z34" s="1"/>
    </row>
    <row r="35" spans="1:26" ht="13.5" customHeight="1">
      <c r="A35" s="1"/>
      <c r="B35" s="4"/>
      <c r="C35" s="4"/>
      <c r="D35" s="4"/>
      <c r="E35" s="4"/>
      <c r="F35" s="4"/>
      <c r="G35" s="4"/>
      <c r="H35" s="4"/>
      <c r="I35" s="4"/>
      <c r="J35" s="4"/>
      <c r="K35" s="4"/>
      <c r="L35" s="4"/>
      <c r="M35" s="4"/>
      <c r="N35" s="4"/>
      <c r="O35" s="4"/>
      <c r="P35" s="4"/>
      <c r="Q35" s="4"/>
      <c r="R35" s="4"/>
      <c r="S35" s="4"/>
      <c r="T35" s="4"/>
      <c r="U35" s="4"/>
      <c r="V35" s="4"/>
      <c r="W35" s="4"/>
      <c r="X35" s="4"/>
      <c r="Y35" s="4"/>
      <c r="Z35" s="1"/>
    </row>
    <row r="36" spans="1:26" ht="13.5" customHeight="1">
      <c r="A36" s="1"/>
      <c r="B36" s="4"/>
      <c r="C36" s="4"/>
      <c r="D36" s="4"/>
      <c r="E36" s="4"/>
      <c r="F36" s="4"/>
      <c r="G36" s="4"/>
      <c r="H36" s="4"/>
      <c r="I36" s="4"/>
      <c r="J36" s="4"/>
      <c r="K36" s="4"/>
      <c r="L36" s="4"/>
      <c r="M36" s="4"/>
      <c r="N36" s="4"/>
      <c r="O36" s="4"/>
      <c r="P36" s="4"/>
      <c r="Q36" s="4"/>
      <c r="R36" s="4"/>
      <c r="S36" s="4"/>
      <c r="T36" s="4"/>
      <c r="U36" s="4"/>
      <c r="V36" s="4"/>
      <c r="W36" s="4"/>
      <c r="X36" s="4"/>
      <c r="Y36" s="4"/>
      <c r="Z36" s="1"/>
    </row>
    <row r="37" spans="1:26" ht="13.5" customHeight="1">
      <c r="A37" s="1"/>
      <c r="B37" s="4"/>
      <c r="C37" s="4"/>
      <c r="D37" s="4"/>
      <c r="E37" s="4"/>
      <c r="F37" s="4"/>
      <c r="G37" s="4"/>
      <c r="H37" s="4"/>
      <c r="I37" s="4"/>
      <c r="J37" s="4"/>
      <c r="K37" s="4"/>
      <c r="L37" s="4"/>
      <c r="M37" s="4"/>
      <c r="N37" s="4"/>
      <c r="O37" s="4"/>
      <c r="P37" s="4"/>
      <c r="Q37" s="4"/>
      <c r="R37" s="4"/>
      <c r="S37" s="4"/>
      <c r="T37" s="4"/>
      <c r="U37" s="4"/>
      <c r="V37" s="4"/>
      <c r="W37" s="4"/>
      <c r="X37" s="4"/>
      <c r="Y37" s="4"/>
      <c r="Z37" s="1"/>
    </row>
    <row r="38" spans="1:26" ht="13.5" customHeight="1">
      <c r="A38" s="1"/>
      <c r="B38" s="4"/>
      <c r="C38" s="4"/>
      <c r="D38" s="4"/>
      <c r="E38" s="4"/>
      <c r="F38" s="4"/>
      <c r="G38" s="4"/>
      <c r="H38" s="4"/>
      <c r="I38" s="4"/>
      <c r="J38" s="4"/>
      <c r="K38" s="4"/>
      <c r="L38" s="4"/>
      <c r="M38" s="4"/>
      <c r="N38" s="4"/>
      <c r="O38" s="4"/>
      <c r="P38" s="4"/>
      <c r="Q38" s="4"/>
      <c r="R38" s="4"/>
      <c r="S38" s="4"/>
      <c r="T38" s="4"/>
      <c r="U38" s="4"/>
      <c r="V38" s="4"/>
      <c r="W38" s="4"/>
      <c r="X38" s="4"/>
      <c r="Y38" s="4"/>
      <c r="Z38" s="1"/>
    </row>
    <row r="39" spans="1:26" ht="13.5" customHeight="1">
      <c r="A39" s="1"/>
      <c r="B39" s="4"/>
      <c r="C39" s="4"/>
      <c r="D39" s="4"/>
      <c r="E39" s="4"/>
      <c r="F39" s="4"/>
      <c r="G39" s="4"/>
      <c r="H39" s="4"/>
      <c r="I39" s="4"/>
      <c r="J39" s="4"/>
      <c r="K39" s="4"/>
      <c r="L39" s="4"/>
      <c r="M39" s="4"/>
      <c r="N39" s="4"/>
      <c r="O39" s="4"/>
      <c r="P39" s="4"/>
      <c r="Q39" s="4"/>
      <c r="R39" s="4"/>
      <c r="S39" s="4"/>
      <c r="T39" s="4"/>
      <c r="U39" s="4"/>
      <c r="V39" s="4"/>
      <c r="W39" s="4"/>
      <c r="X39" s="4"/>
      <c r="Y39" s="4"/>
      <c r="Z39" s="1"/>
    </row>
    <row r="40" spans="1:26" ht="13.5" customHeight="1">
      <c r="A40" s="1"/>
      <c r="B40" s="4"/>
      <c r="C40" s="4"/>
      <c r="D40" s="4"/>
      <c r="E40" s="4"/>
      <c r="F40" s="4"/>
      <c r="G40" s="4"/>
      <c r="H40" s="4"/>
      <c r="I40" s="4"/>
      <c r="J40" s="4"/>
      <c r="K40" s="4"/>
      <c r="L40" s="4"/>
      <c r="M40" s="4"/>
      <c r="N40" s="4"/>
      <c r="O40" s="4"/>
      <c r="P40" s="4"/>
      <c r="Q40" s="4"/>
      <c r="R40" s="4"/>
      <c r="S40" s="4"/>
      <c r="T40" s="4"/>
      <c r="U40" s="4"/>
      <c r="V40" s="4"/>
      <c r="W40" s="4"/>
      <c r="X40" s="4"/>
      <c r="Y40" s="4"/>
      <c r="Z40" s="1"/>
    </row>
    <row r="41" spans="1:26" ht="13.5" customHeight="1">
      <c r="A41" s="1"/>
      <c r="B41" s="4"/>
      <c r="C41" s="4"/>
      <c r="D41" s="4"/>
      <c r="E41" s="4"/>
      <c r="F41" s="4"/>
      <c r="G41" s="4"/>
      <c r="H41" s="4"/>
      <c r="I41" s="4"/>
      <c r="J41" s="4"/>
      <c r="K41" s="4"/>
      <c r="L41" s="4"/>
      <c r="M41" s="4"/>
      <c r="N41" s="4"/>
      <c r="O41" s="4"/>
      <c r="P41" s="4"/>
      <c r="Q41" s="4"/>
      <c r="R41" s="4"/>
      <c r="S41" s="4"/>
      <c r="T41" s="4"/>
      <c r="U41" s="4"/>
      <c r="V41" s="4"/>
      <c r="W41" s="4"/>
      <c r="X41" s="4"/>
      <c r="Y41" s="4"/>
      <c r="Z41" s="1"/>
    </row>
    <row r="42" spans="1:26" ht="13.5" customHeight="1">
      <c r="A42" s="1"/>
      <c r="B42" s="4"/>
      <c r="C42" s="4"/>
      <c r="D42" s="4"/>
      <c r="E42" s="4"/>
      <c r="F42" s="4"/>
      <c r="G42" s="4"/>
      <c r="H42" s="4"/>
      <c r="I42" s="4"/>
      <c r="J42" s="4"/>
      <c r="K42" s="4"/>
      <c r="L42" s="4"/>
      <c r="M42" s="4"/>
      <c r="N42" s="4"/>
      <c r="O42" s="4"/>
      <c r="P42" s="4"/>
      <c r="Q42" s="4"/>
      <c r="R42" s="4"/>
      <c r="S42" s="4"/>
      <c r="T42" s="4"/>
      <c r="U42" s="4"/>
      <c r="V42" s="4"/>
      <c r="W42" s="4"/>
      <c r="X42" s="4"/>
      <c r="Y42" s="4"/>
      <c r="Z42" s="1"/>
    </row>
    <row r="43" spans="1:26" ht="13.5" customHeight="1">
      <c r="A43" s="1"/>
      <c r="B43" s="4"/>
      <c r="C43" s="4"/>
      <c r="D43" s="4"/>
      <c r="E43" s="4"/>
      <c r="F43" s="4"/>
      <c r="G43" s="4"/>
      <c r="H43" s="4"/>
      <c r="I43" s="4"/>
      <c r="J43" s="4"/>
      <c r="K43" s="4"/>
      <c r="L43" s="4"/>
      <c r="M43" s="4"/>
      <c r="N43" s="4"/>
      <c r="O43" s="4"/>
      <c r="P43" s="4"/>
      <c r="Q43" s="4"/>
      <c r="R43" s="4"/>
      <c r="S43" s="4"/>
      <c r="T43" s="4"/>
      <c r="U43" s="4"/>
      <c r="V43" s="4"/>
      <c r="W43" s="4"/>
      <c r="X43" s="4"/>
      <c r="Y43" s="4"/>
      <c r="Z43" s="1"/>
    </row>
    <row r="44" spans="1:26" ht="13.5" customHeight="1">
      <c r="A44" s="1"/>
      <c r="B44" s="4"/>
      <c r="C44" s="4"/>
      <c r="D44" s="4"/>
      <c r="E44" s="4"/>
      <c r="F44" s="4"/>
      <c r="G44" s="4"/>
      <c r="H44" s="4"/>
      <c r="I44" s="4"/>
      <c r="J44" s="4"/>
      <c r="K44" s="4"/>
      <c r="L44" s="4"/>
      <c r="M44" s="4"/>
      <c r="N44" s="4"/>
      <c r="O44" s="4"/>
      <c r="P44" s="4"/>
      <c r="Q44" s="4"/>
      <c r="R44" s="4"/>
      <c r="S44" s="4"/>
      <c r="T44" s="4"/>
      <c r="U44" s="4"/>
      <c r="V44" s="4"/>
      <c r="W44" s="4"/>
      <c r="X44" s="4"/>
      <c r="Y44" s="4"/>
      <c r="Z44" s="1"/>
    </row>
    <row r="45" spans="1:26" ht="13.5" customHeight="1">
      <c r="A45" s="1"/>
      <c r="B45" s="4"/>
      <c r="C45" s="4"/>
      <c r="D45" s="4"/>
      <c r="E45" s="4"/>
      <c r="F45" s="4"/>
      <c r="G45" s="4"/>
      <c r="H45" s="4"/>
      <c r="I45" s="4"/>
      <c r="J45" s="4"/>
      <c r="K45" s="4"/>
      <c r="L45" s="4"/>
      <c r="M45" s="4"/>
      <c r="N45" s="4"/>
      <c r="O45" s="4"/>
      <c r="P45" s="4"/>
      <c r="Q45" s="4"/>
      <c r="R45" s="4"/>
      <c r="S45" s="4"/>
      <c r="T45" s="4"/>
      <c r="U45" s="4"/>
      <c r="V45" s="4"/>
      <c r="W45" s="4"/>
      <c r="X45" s="4"/>
      <c r="Y45" s="4"/>
      <c r="Z45" s="1"/>
    </row>
    <row r="46" spans="1:26" ht="13.5" customHeight="1">
      <c r="A46" s="1"/>
      <c r="B46" s="4"/>
      <c r="C46" s="4"/>
      <c r="D46" s="4"/>
      <c r="E46" s="4"/>
      <c r="F46" s="4"/>
      <c r="G46" s="4"/>
      <c r="H46" s="4"/>
      <c r="I46" s="4"/>
      <c r="J46" s="4"/>
      <c r="K46" s="4"/>
      <c r="L46" s="4"/>
      <c r="M46" s="4"/>
      <c r="N46" s="4"/>
      <c r="O46" s="4"/>
      <c r="P46" s="4"/>
      <c r="Q46" s="4"/>
      <c r="R46" s="4"/>
      <c r="S46" s="4"/>
      <c r="T46" s="4"/>
      <c r="U46" s="4"/>
      <c r="V46" s="4"/>
      <c r="W46" s="4"/>
      <c r="X46" s="4"/>
      <c r="Y46" s="4"/>
      <c r="Z46" s="1"/>
    </row>
    <row r="47" spans="1:26" ht="13.5" customHeight="1">
      <c r="A47" s="1"/>
      <c r="B47" s="4"/>
      <c r="C47" s="4"/>
      <c r="D47" s="4"/>
      <c r="E47" s="4"/>
      <c r="F47" s="4"/>
      <c r="G47" s="4"/>
      <c r="H47" s="4"/>
      <c r="I47" s="4"/>
      <c r="J47" s="4"/>
      <c r="K47" s="4"/>
      <c r="L47" s="4"/>
      <c r="M47" s="4"/>
      <c r="N47" s="4"/>
      <c r="O47" s="4"/>
      <c r="P47" s="4"/>
      <c r="Q47" s="4"/>
      <c r="R47" s="4"/>
      <c r="S47" s="4"/>
      <c r="T47" s="4"/>
      <c r="U47" s="4"/>
      <c r="V47" s="4"/>
      <c r="W47" s="4"/>
      <c r="X47" s="4"/>
      <c r="Y47" s="4"/>
      <c r="Z47" s="1"/>
    </row>
    <row r="48" spans="1:26" ht="13.5" customHeight="1">
      <c r="A48" s="1"/>
      <c r="B48" s="4"/>
      <c r="C48" s="4"/>
      <c r="D48" s="4"/>
      <c r="E48" s="4"/>
      <c r="F48" s="4"/>
      <c r="G48" s="4"/>
      <c r="H48" s="4"/>
      <c r="I48" s="4"/>
      <c r="J48" s="4"/>
      <c r="K48" s="4"/>
      <c r="L48" s="4"/>
      <c r="M48" s="4"/>
      <c r="N48" s="4"/>
      <c r="O48" s="4"/>
      <c r="P48" s="4"/>
      <c r="Q48" s="4"/>
      <c r="R48" s="4"/>
      <c r="S48" s="4"/>
      <c r="T48" s="4"/>
      <c r="U48" s="4"/>
      <c r="V48" s="4"/>
      <c r="W48" s="4"/>
      <c r="X48" s="4"/>
      <c r="Y48" s="4"/>
      <c r="Z48" s="1"/>
    </row>
    <row r="49" spans="1:26" ht="13.5" customHeight="1">
      <c r="A49" s="1"/>
      <c r="B49" s="4"/>
      <c r="C49" s="4"/>
      <c r="D49" s="4"/>
      <c r="E49" s="4"/>
      <c r="F49" s="4"/>
      <c r="G49" s="4"/>
      <c r="H49" s="4"/>
      <c r="I49" s="4"/>
      <c r="J49" s="4"/>
      <c r="K49" s="4"/>
      <c r="L49" s="4"/>
      <c r="M49" s="4"/>
      <c r="N49" s="4"/>
      <c r="O49" s="4"/>
      <c r="P49" s="4"/>
      <c r="Q49" s="4"/>
      <c r="R49" s="4"/>
      <c r="S49" s="4"/>
      <c r="T49" s="4"/>
      <c r="U49" s="4"/>
      <c r="V49" s="4"/>
      <c r="W49" s="4"/>
      <c r="X49" s="4"/>
      <c r="Y49" s="4"/>
      <c r="Z49" s="1"/>
    </row>
    <row r="50" spans="1:26" ht="13.5" customHeight="1">
      <c r="A50" s="1"/>
      <c r="B50" s="4"/>
      <c r="C50" s="4"/>
      <c r="D50" s="4"/>
      <c r="E50" s="4"/>
      <c r="F50" s="4"/>
      <c r="G50" s="4"/>
      <c r="H50" s="4"/>
      <c r="I50" s="4"/>
      <c r="J50" s="4"/>
      <c r="K50" s="4"/>
      <c r="L50" s="4"/>
      <c r="M50" s="4"/>
      <c r="N50" s="4"/>
      <c r="O50" s="4"/>
      <c r="P50" s="4"/>
      <c r="Q50" s="4"/>
      <c r="R50" s="4"/>
      <c r="S50" s="4"/>
      <c r="T50" s="4"/>
      <c r="U50" s="4"/>
      <c r="V50" s="4"/>
      <c r="W50" s="4"/>
      <c r="X50" s="4"/>
      <c r="Y50" s="4"/>
      <c r="Z50" s="1"/>
    </row>
    <row r="51" spans="1:26" ht="13.5" customHeight="1">
      <c r="A51" s="1"/>
      <c r="B51" s="4"/>
      <c r="C51" s="4"/>
      <c r="D51" s="4"/>
      <c r="E51" s="4"/>
      <c r="F51" s="4"/>
      <c r="G51" s="4"/>
      <c r="H51" s="4"/>
      <c r="I51" s="4"/>
      <c r="J51" s="4"/>
      <c r="K51" s="4"/>
      <c r="L51" s="4"/>
      <c r="M51" s="4"/>
      <c r="N51" s="4"/>
      <c r="O51" s="4"/>
      <c r="P51" s="4"/>
      <c r="Q51" s="4"/>
      <c r="R51" s="4"/>
      <c r="S51" s="4"/>
      <c r="T51" s="4"/>
      <c r="U51" s="4"/>
      <c r="V51" s="4"/>
      <c r="W51" s="4"/>
      <c r="X51" s="4"/>
      <c r="Y51" s="4"/>
      <c r="Z51" s="1"/>
    </row>
    <row r="52" spans="1:26" ht="13.5" customHeight="1">
      <c r="A52" s="1"/>
      <c r="B52" s="4"/>
      <c r="C52" s="4"/>
      <c r="D52" s="4"/>
      <c r="E52" s="4"/>
      <c r="F52" s="4"/>
      <c r="G52" s="4"/>
      <c r="H52" s="4"/>
      <c r="I52" s="4"/>
      <c r="J52" s="4"/>
      <c r="K52" s="4"/>
      <c r="L52" s="4"/>
      <c r="M52" s="4"/>
      <c r="N52" s="4"/>
      <c r="O52" s="4"/>
      <c r="P52" s="4"/>
      <c r="Q52" s="4"/>
      <c r="R52" s="4"/>
      <c r="S52" s="4"/>
      <c r="T52" s="4"/>
      <c r="U52" s="4"/>
      <c r="V52" s="4"/>
      <c r="W52" s="4"/>
      <c r="X52" s="4"/>
      <c r="Y52" s="4"/>
      <c r="Z52" s="1"/>
    </row>
    <row r="53" spans="1:26" ht="13.5" customHeight="1">
      <c r="A53" s="1"/>
      <c r="B53" s="4"/>
      <c r="C53" s="4"/>
      <c r="D53" s="4"/>
      <c r="E53" s="4"/>
      <c r="F53" s="4"/>
      <c r="G53" s="4"/>
      <c r="H53" s="4"/>
      <c r="I53" s="4"/>
      <c r="J53" s="4"/>
      <c r="K53" s="4"/>
      <c r="L53" s="4"/>
      <c r="M53" s="4"/>
      <c r="N53" s="4"/>
      <c r="O53" s="4"/>
      <c r="P53" s="4"/>
      <c r="Q53" s="4"/>
      <c r="R53" s="4"/>
      <c r="S53" s="4"/>
      <c r="T53" s="4"/>
      <c r="U53" s="4"/>
      <c r="V53" s="4"/>
      <c r="W53" s="4"/>
      <c r="X53" s="4"/>
      <c r="Y53" s="4"/>
      <c r="Z53" s="1"/>
    </row>
    <row r="54" spans="1:26" ht="13.5" customHeight="1">
      <c r="A54" s="1"/>
      <c r="B54" s="4"/>
      <c r="C54" s="4"/>
      <c r="D54" s="4"/>
      <c r="E54" s="4"/>
      <c r="F54" s="4"/>
      <c r="G54" s="4"/>
      <c r="H54" s="4"/>
      <c r="I54" s="4"/>
      <c r="J54" s="4"/>
      <c r="K54" s="4"/>
      <c r="L54" s="4"/>
      <c r="M54" s="4"/>
      <c r="N54" s="4"/>
      <c r="O54" s="4"/>
      <c r="P54" s="4"/>
      <c r="Q54" s="4"/>
      <c r="R54" s="4"/>
      <c r="S54" s="4"/>
      <c r="T54" s="4"/>
      <c r="U54" s="4"/>
      <c r="V54" s="4"/>
      <c r="W54" s="4"/>
      <c r="X54" s="4"/>
      <c r="Y54" s="4"/>
      <c r="Z54" s="1"/>
    </row>
    <row r="55" spans="1:26" ht="13.5" customHeight="1">
      <c r="A55" s="1"/>
      <c r="B55" s="4"/>
      <c r="C55" s="4"/>
      <c r="D55" s="4"/>
      <c r="E55" s="4"/>
      <c r="F55" s="4"/>
      <c r="G55" s="4"/>
      <c r="H55" s="4"/>
      <c r="I55" s="4"/>
      <c r="J55" s="4"/>
      <c r="K55" s="4"/>
      <c r="L55" s="4"/>
      <c r="M55" s="4"/>
      <c r="N55" s="4"/>
      <c r="O55" s="4"/>
      <c r="P55" s="4"/>
      <c r="Q55" s="4"/>
      <c r="R55" s="4"/>
      <c r="S55" s="4"/>
      <c r="T55" s="4"/>
      <c r="U55" s="4"/>
      <c r="V55" s="4"/>
      <c r="W55" s="4"/>
      <c r="X55" s="4"/>
      <c r="Y55" s="4"/>
      <c r="Z55" s="1"/>
    </row>
    <row r="56" spans="1:26" ht="13.5" customHeight="1">
      <c r="A56" s="1"/>
      <c r="B56" s="4"/>
      <c r="C56" s="4"/>
      <c r="D56" s="4"/>
      <c r="E56" s="4"/>
      <c r="F56" s="4"/>
      <c r="G56" s="4"/>
      <c r="H56" s="4"/>
      <c r="I56" s="4"/>
      <c r="J56" s="4"/>
      <c r="K56" s="4"/>
      <c r="L56" s="4"/>
      <c r="M56" s="4"/>
      <c r="N56" s="4"/>
      <c r="O56" s="4"/>
      <c r="P56" s="4"/>
      <c r="Q56" s="4"/>
      <c r="R56" s="4"/>
      <c r="S56" s="4"/>
      <c r="T56" s="4"/>
      <c r="U56" s="4"/>
      <c r="V56" s="4"/>
      <c r="W56" s="4"/>
      <c r="X56" s="4"/>
      <c r="Y56" s="4"/>
      <c r="Z56" s="1"/>
    </row>
    <row r="57" spans="1:26" ht="13.5" customHeight="1">
      <c r="A57" s="1"/>
      <c r="B57" s="4"/>
      <c r="C57" s="4"/>
      <c r="D57" s="4"/>
      <c r="E57" s="4"/>
      <c r="F57" s="4"/>
      <c r="G57" s="4"/>
      <c r="H57" s="4"/>
      <c r="I57" s="4"/>
      <c r="J57" s="4"/>
      <c r="K57" s="4"/>
      <c r="L57" s="4"/>
      <c r="M57" s="4"/>
      <c r="N57" s="4"/>
      <c r="O57" s="4"/>
      <c r="P57" s="4"/>
      <c r="Q57" s="4"/>
      <c r="R57" s="4"/>
      <c r="S57" s="4"/>
      <c r="T57" s="4"/>
      <c r="U57" s="4"/>
      <c r="V57" s="4"/>
      <c r="W57" s="4"/>
      <c r="X57" s="4"/>
      <c r="Y57" s="4"/>
      <c r="Z57" s="1"/>
    </row>
    <row r="58" spans="1:26" ht="13.5" customHeight="1">
      <c r="A58" s="1"/>
      <c r="B58" s="4"/>
      <c r="C58" s="4"/>
      <c r="D58" s="4"/>
      <c r="E58" s="4"/>
      <c r="F58" s="4"/>
      <c r="G58" s="4"/>
      <c r="H58" s="4"/>
      <c r="I58" s="4"/>
      <c r="J58" s="4"/>
      <c r="K58" s="4"/>
      <c r="L58" s="4"/>
      <c r="M58" s="4"/>
      <c r="N58" s="4"/>
      <c r="O58" s="4"/>
      <c r="P58" s="4"/>
      <c r="Q58" s="4"/>
      <c r="R58" s="4"/>
      <c r="S58" s="4"/>
      <c r="T58" s="4"/>
      <c r="U58" s="4"/>
      <c r="V58" s="4"/>
      <c r="W58" s="4"/>
      <c r="X58" s="4"/>
      <c r="Y58" s="4"/>
      <c r="Z58" s="1"/>
    </row>
    <row r="59" spans="1:26" ht="13.5" customHeight="1">
      <c r="A59" s="1"/>
      <c r="B59" s="4"/>
      <c r="C59" s="4"/>
      <c r="D59" s="4"/>
      <c r="E59" s="4"/>
      <c r="F59" s="4"/>
      <c r="G59" s="4"/>
      <c r="H59" s="4"/>
      <c r="I59" s="4"/>
      <c r="J59" s="4"/>
      <c r="K59" s="4"/>
      <c r="L59" s="4"/>
      <c r="M59" s="4"/>
      <c r="N59" s="4"/>
      <c r="O59" s="4"/>
      <c r="P59" s="4"/>
      <c r="Q59" s="4"/>
      <c r="R59" s="4"/>
      <c r="S59" s="4"/>
      <c r="T59" s="4"/>
      <c r="U59" s="4"/>
      <c r="V59" s="4"/>
      <c r="W59" s="4"/>
      <c r="X59" s="4"/>
      <c r="Y59" s="4"/>
      <c r="Z59" s="1"/>
    </row>
    <row r="60" spans="1:26" ht="13.5" customHeight="1">
      <c r="A60" s="1"/>
      <c r="B60" s="4"/>
      <c r="C60" s="4"/>
      <c r="D60" s="4"/>
      <c r="E60" s="4"/>
      <c r="F60" s="4"/>
      <c r="G60" s="4"/>
      <c r="H60" s="4"/>
      <c r="I60" s="4"/>
      <c r="J60" s="4"/>
      <c r="K60" s="4"/>
      <c r="L60" s="4"/>
      <c r="M60" s="4"/>
      <c r="N60" s="4"/>
      <c r="O60" s="4"/>
      <c r="P60" s="4"/>
      <c r="Q60" s="4"/>
      <c r="R60" s="4"/>
      <c r="S60" s="4"/>
      <c r="T60" s="4"/>
      <c r="U60" s="4"/>
      <c r="V60" s="4"/>
      <c r="W60" s="4"/>
      <c r="X60" s="4"/>
      <c r="Y60" s="4"/>
      <c r="Z60" s="1"/>
    </row>
    <row r="61" spans="1:26" ht="13.5" customHeight="1">
      <c r="A61" s="1"/>
      <c r="B61" s="4"/>
      <c r="C61" s="4"/>
      <c r="D61" s="4"/>
      <c r="E61" s="4"/>
      <c r="F61" s="4"/>
      <c r="G61" s="4"/>
      <c r="H61" s="4"/>
      <c r="I61" s="4"/>
      <c r="J61" s="4"/>
      <c r="K61" s="4"/>
      <c r="L61" s="4"/>
      <c r="M61" s="4"/>
      <c r="N61" s="4"/>
      <c r="O61" s="4"/>
      <c r="P61" s="4"/>
      <c r="Q61" s="4"/>
      <c r="R61" s="4"/>
      <c r="S61" s="4"/>
      <c r="T61" s="4"/>
      <c r="U61" s="4"/>
      <c r="V61" s="4"/>
      <c r="W61" s="4"/>
      <c r="X61" s="4"/>
      <c r="Y61" s="4"/>
      <c r="Z61" s="1"/>
    </row>
    <row r="62" spans="1:26" ht="13.5" customHeight="1">
      <c r="A62" s="1"/>
      <c r="B62" s="4"/>
      <c r="C62" s="4"/>
      <c r="D62" s="4"/>
      <c r="E62" s="4"/>
      <c r="F62" s="4"/>
      <c r="G62" s="4"/>
      <c r="H62" s="4"/>
      <c r="I62" s="4"/>
      <c r="J62" s="4"/>
      <c r="K62" s="4"/>
      <c r="L62" s="4"/>
      <c r="M62" s="4"/>
      <c r="N62" s="4"/>
      <c r="O62" s="4"/>
      <c r="P62" s="4"/>
      <c r="Q62" s="4"/>
      <c r="R62" s="4"/>
      <c r="S62" s="4"/>
      <c r="T62" s="4"/>
      <c r="U62" s="4"/>
      <c r="V62" s="4"/>
      <c r="W62" s="4"/>
      <c r="X62" s="4"/>
      <c r="Y62" s="4"/>
      <c r="Z62" s="1"/>
    </row>
    <row r="63" spans="1:26" ht="13.5" customHeight="1">
      <c r="A63" s="1"/>
      <c r="B63" s="4"/>
      <c r="C63" s="4"/>
      <c r="D63" s="4"/>
      <c r="E63" s="4"/>
      <c r="F63" s="4"/>
      <c r="G63" s="4"/>
      <c r="H63" s="4"/>
      <c r="I63" s="4"/>
      <c r="J63" s="4"/>
      <c r="K63" s="4"/>
      <c r="L63" s="4"/>
      <c r="M63" s="4"/>
      <c r="N63" s="4"/>
      <c r="O63" s="4"/>
      <c r="P63" s="4"/>
      <c r="Q63" s="4"/>
      <c r="R63" s="4"/>
      <c r="S63" s="4"/>
      <c r="T63" s="4"/>
      <c r="U63" s="4"/>
      <c r="V63" s="4"/>
      <c r="W63" s="4"/>
      <c r="X63" s="4"/>
      <c r="Y63" s="4"/>
      <c r="Z63" s="1"/>
    </row>
    <row r="64" spans="1:26" ht="13.5" customHeight="1">
      <c r="A64" s="1"/>
      <c r="B64" s="4"/>
      <c r="C64" s="4"/>
      <c r="D64" s="4"/>
      <c r="E64" s="4"/>
      <c r="F64" s="4"/>
      <c r="G64" s="4"/>
      <c r="H64" s="4"/>
      <c r="I64" s="4"/>
      <c r="J64" s="4"/>
      <c r="K64" s="4"/>
      <c r="L64" s="4"/>
      <c r="M64" s="4"/>
      <c r="N64" s="4"/>
      <c r="O64" s="4"/>
      <c r="P64" s="4"/>
      <c r="Q64" s="4"/>
      <c r="R64" s="4"/>
      <c r="S64" s="4"/>
      <c r="T64" s="4"/>
      <c r="U64" s="4"/>
      <c r="V64" s="4"/>
      <c r="W64" s="4"/>
      <c r="X64" s="4"/>
      <c r="Y64" s="4"/>
      <c r="Z64" s="1"/>
    </row>
    <row r="65" spans="1:26" ht="13.5" customHeight="1">
      <c r="A65" s="1"/>
      <c r="B65" s="4"/>
      <c r="C65" s="4"/>
      <c r="D65" s="4"/>
      <c r="E65" s="4"/>
      <c r="F65" s="4"/>
      <c r="G65" s="4"/>
      <c r="H65" s="4"/>
      <c r="I65" s="4"/>
      <c r="J65" s="4"/>
      <c r="K65" s="4"/>
      <c r="L65" s="4"/>
      <c r="M65" s="4"/>
      <c r="N65" s="4"/>
      <c r="O65" s="4"/>
      <c r="P65" s="4"/>
      <c r="Q65" s="4"/>
      <c r="R65" s="4"/>
      <c r="S65" s="4"/>
      <c r="T65" s="4"/>
      <c r="U65" s="4"/>
      <c r="V65" s="4"/>
      <c r="W65" s="4"/>
      <c r="X65" s="4"/>
      <c r="Y65" s="4"/>
      <c r="Z65" s="1"/>
    </row>
    <row r="66" spans="1:26" ht="13.5" customHeight="1">
      <c r="A66" s="1"/>
      <c r="B66" s="4"/>
      <c r="C66" s="4"/>
      <c r="D66" s="4"/>
      <c r="E66" s="4"/>
      <c r="F66" s="4"/>
      <c r="G66" s="4"/>
      <c r="H66" s="4"/>
      <c r="I66" s="4"/>
      <c r="J66" s="4"/>
      <c r="K66" s="4"/>
      <c r="L66" s="4"/>
      <c r="M66" s="4"/>
      <c r="N66" s="4"/>
      <c r="O66" s="4"/>
      <c r="P66" s="4"/>
      <c r="Q66" s="4"/>
      <c r="R66" s="4"/>
      <c r="S66" s="4"/>
      <c r="T66" s="4"/>
      <c r="U66" s="4"/>
      <c r="V66" s="4"/>
      <c r="W66" s="4"/>
      <c r="X66" s="4"/>
      <c r="Y66" s="4"/>
      <c r="Z66" s="1"/>
    </row>
    <row r="67" spans="1:26" ht="13.5" customHeight="1">
      <c r="A67" s="1"/>
      <c r="B67" s="4"/>
      <c r="C67" s="4"/>
      <c r="D67" s="4"/>
      <c r="E67" s="4"/>
      <c r="F67" s="4"/>
      <c r="G67" s="4"/>
      <c r="H67" s="4"/>
      <c r="I67" s="4"/>
      <c r="J67" s="4"/>
      <c r="K67" s="4"/>
      <c r="L67" s="4"/>
      <c r="M67" s="4"/>
      <c r="N67" s="4"/>
      <c r="O67" s="4"/>
      <c r="P67" s="4"/>
      <c r="Q67" s="4"/>
      <c r="R67" s="4"/>
      <c r="S67" s="4"/>
      <c r="T67" s="4"/>
      <c r="U67" s="4"/>
      <c r="V67" s="4"/>
      <c r="W67" s="4"/>
      <c r="X67" s="4"/>
      <c r="Y67" s="4"/>
      <c r="Z67" s="1"/>
    </row>
    <row r="68" spans="1:26" ht="13.5" customHeight="1">
      <c r="A68" s="1"/>
      <c r="B68" s="4"/>
      <c r="C68" s="4"/>
      <c r="D68" s="4"/>
      <c r="E68" s="4"/>
      <c r="F68" s="4"/>
      <c r="G68" s="4"/>
      <c r="H68" s="4"/>
      <c r="I68" s="4"/>
      <c r="J68" s="4"/>
      <c r="K68" s="4"/>
      <c r="L68" s="4"/>
      <c r="M68" s="4"/>
      <c r="N68" s="4"/>
      <c r="O68" s="4"/>
      <c r="P68" s="4"/>
      <c r="Q68" s="4"/>
      <c r="R68" s="4"/>
      <c r="S68" s="4"/>
      <c r="T68" s="4"/>
      <c r="U68" s="4"/>
      <c r="V68" s="4"/>
      <c r="W68" s="4"/>
      <c r="X68" s="4"/>
      <c r="Y68" s="4"/>
      <c r="Z68" s="1"/>
    </row>
    <row r="69" spans="1:26" ht="13.5" customHeight="1">
      <c r="A69" s="1"/>
      <c r="B69" s="4"/>
      <c r="C69" s="4"/>
      <c r="D69" s="4"/>
      <c r="E69" s="4"/>
      <c r="F69" s="4"/>
      <c r="G69" s="4"/>
      <c r="H69" s="4"/>
      <c r="I69" s="4"/>
      <c r="J69" s="4"/>
      <c r="K69" s="4"/>
      <c r="L69" s="4"/>
      <c r="M69" s="4"/>
      <c r="N69" s="4"/>
      <c r="O69" s="4"/>
      <c r="P69" s="4"/>
      <c r="Q69" s="4"/>
      <c r="R69" s="4"/>
      <c r="S69" s="4"/>
      <c r="T69" s="4"/>
      <c r="U69" s="4"/>
      <c r="V69" s="4"/>
      <c r="W69" s="4"/>
      <c r="X69" s="4"/>
      <c r="Y69" s="4"/>
      <c r="Z69" s="1"/>
    </row>
    <row r="70" spans="1:26" ht="13.5" customHeight="1">
      <c r="A70" s="1"/>
      <c r="B70" s="4"/>
      <c r="C70" s="4"/>
      <c r="D70" s="4"/>
      <c r="E70" s="4"/>
      <c r="F70" s="4"/>
      <c r="G70" s="4"/>
      <c r="H70" s="4"/>
      <c r="I70" s="4"/>
      <c r="J70" s="4"/>
      <c r="K70" s="4"/>
      <c r="L70" s="4"/>
      <c r="M70" s="4"/>
      <c r="N70" s="4"/>
      <c r="O70" s="4"/>
      <c r="P70" s="4"/>
      <c r="Q70" s="4"/>
      <c r="R70" s="4"/>
      <c r="S70" s="4"/>
      <c r="T70" s="4"/>
      <c r="U70" s="4"/>
      <c r="V70" s="4"/>
      <c r="W70" s="4"/>
      <c r="X70" s="4"/>
      <c r="Y70" s="4"/>
      <c r="Z70" s="1"/>
    </row>
    <row r="71" spans="1:26" ht="13.5" customHeight="1">
      <c r="A71" s="1"/>
      <c r="B71" s="4"/>
      <c r="C71" s="4"/>
      <c r="D71" s="4"/>
      <c r="E71" s="4"/>
      <c r="F71" s="4"/>
      <c r="G71" s="4"/>
      <c r="H71" s="4"/>
      <c r="I71" s="4"/>
      <c r="J71" s="4"/>
      <c r="K71" s="4"/>
      <c r="L71" s="4"/>
      <c r="M71" s="4"/>
      <c r="N71" s="4"/>
      <c r="O71" s="4"/>
      <c r="P71" s="4"/>
      <c r="Q71" s="4"/>
      <c r="R71" s="4"/>
      <c r="S71" s="4"/>
      <c r="T71" s="4"/>
      <c r="U71" s="4"/>
      <c r="V71" s="4"/>
      <c r="W71" s="4"/>
      <c r="X71" s="4"/>
      <c r="Y71" s="4"/>
      <c r="Z71" s="1"/>
    </row>
    <row r="72" spans="1:26" ht="13.5" customHeight="1">
      <c r="A72" s="1"/>
      <c r="B72" s="4"/>
      <c r="C72" s="4"/>
      <c r="D72" s="4"/>
      <c r="E72" s="4"/>
      <c r="F72" s="4"/>
      <c r="G72" s="4"/>
      <c r="H72" s="4"/>
      <c r="I72" s="4"/>
      <c r="J72" s="4"/>
      <c r="K72" s="4"/>
      <c r="L72" s="4"/>
      <c r="M72" s="4"/>
      <c r="N72" s="4"/>
      <c r="O72" s="4"/>
      <c r="P72" s="4"/>
      <c r="Q72" s="4"/>
      <c r="R72" s="4"/>
      <c r="S72" s="4"/>
      <c r="T72" s="4"/>
      <c r="U72" s="4"/>
      <c r="V72" s="4"/>
      <c r="W72" s="4"/>
      <c r="X72" s="4"/>
      <c r="Y72" s="4"/>
      <c r="Z72" s="1"/>
    </row>
    <row r="73" spans="1:26" ht="13.5" customHeight="1">
      <c r="A73" s="1"/>
      <c r="B73" s="4"/>
      <c r="C73" s="4"/>
      <c r="D73" s="4"/>
      <c r="E73" s="4"/>
      <c r="F73" s="4"/>
      <c r="G73" s="4"/>
      <c r="H73" s="4"/>
      <c r="I73" s="4"/>
      <c r="J73" s="4"/>
      <c r="K73" s="4"/>
      <c r="L73" s="4"/>
      <c r="M73" s="4"/>
      <c r="N73" s="4"/>
      <c r="O73" s="4"/>
      <c r="P73" s="4"/>
      <c r="Q73" s="4"/>
      <c r="R73" s="4"/>
      <c r="S73" s="4"/>
      <c r="T73" s="4"/>
      <c r="U73" s="4"/>
      <c r="V73" s="4"/>
      <c r="W73" s="4"/>
      <c r="X73" s="4"/>
      <c r="Y73" s="4"/>
      <c r="Z73" s="1"/>
    </row>
    <row r="74" spans="1:26" ht="13.5" customHeight="1">
      <c r="A74" s="1"/>
      <c r="B74" s="4"/>
      <c r="C74" s="4"/>
      <c r="D74" s="4"/>
      <c r="E74" s="4"/>
      <c r="F74" s="4"/>
      <c r="G74" s="4"/>
      <c r="H74" s="4"/>
      <c r="I74" s="4"/>
      <c r="J74" s="4"/>
      <c r="K74" s="4"/>
      <c r="L74" s="4"/>
      <c r="M74" s="4"/>
      <c r="N74" s="4"/>
      <c r="O74" s="4"/>
      <c r="P74" s="4"/>
      <c r="Q74" s="4"/>
      <c r="R74" s="4"/>
      <c r="S74" s="4"/>
      <c r="T74" s="4"/>
      <c r="U74" s="4"/>
      <c r="V74" s="4"/>
      <c r="W74" s="4"/>
      <c r="X74" s="4"/>
      <c r="Y74" s="4"/>
      <c r="Z74" s="1"/>
    </row>
    <row r="75" spans="1:26" ht="13.5" customHeight="1">
      <c r="A75" s="1"/>
      <c r="B75" s="4"/>
      <c r="C75" s="4"/>
      <c r="D75" s="4"/>
      <c r="E75" s="4"/>
      <c r="F75" s="4"/>
      <c r="G75" s="4"/>
      <c r="H75" s="4"/>
      <c r="I75" s="4"/>
      <c r="J75" s="4"/>
      <c r="K75" s="4"/>
      <c r="L75" s="4"/>
      <c r="M75" s="4"/>
      <c r="N75" s="4"/>
      <c r="O75" s="4"/>
      <c r="P75" s="4"/>
      <c r="Q75" s="4"/>
      <c r="R75" s="4"/>
      <c r="S75" s="4"/>
      <c r="T75" s="4"/>
      <c r="U75" s="4"/>
      <c r="V75" s="4"/>
      <c r="W75" s="4"/>
      <c r="X75" s="4"/>
      <c r="Y75" s="4"/>
      <c r="Z75" s="1"/>
    </row>
    <row r="76" spans="1:26" ht="13.5" customHeight="1">
      <c r="A76" s="1"/>
      <c r="B76" s="4"/>
      <c r="C76" s="4"/>
      <c r="D76" s="4"/>
      <c r="E76" s="4"/>
      <c r="F76" s="4"/>
      <c r="G76" s="4"/>
      <c r="H76" s="4"/>
      <c r="I76" s="4"/>
      <c r="J76" s="4"/>
      <c r="K76" s="4"/>
      <c r="L76" s="4"/>
      <c r="M76" s="4"/>
      <c r="N76" s="4"/>
      <c r="O76" s="4"/>
      <c r="P76" s="4"/>
      <c r="Q76" s="4"/>
      <c r="R76" s="4"/>
      <c r="S76" s="4"/>
      <c r="T76" s="4"/>
      <c r="U76" s="4"/>
      <c r="V76" s="4"/>
      <c r="W76" s="4"/>
      <c r="X76" s="4"/>
      <c r="Y76" s="4"/>
      <c r="Z76" s="1"/>
    </row>
    <row r="77" spans="1:26" ht="13.5" customHeight="1">
      <c r="A77" s="1"/>
      <c r="B77" s="4"/>
      <c r="C77" s="4"/>
      <c r="D77" s="4"/>
      <c r="E77" s="4"/>
      <c r="F77" s="4"/>
      <c r="G77" s="4"/>
      <c r="H77" s="4"/>
      <c r="I77" s="4"/>
      <c r="J77" s="4"/>
      <c r="K77" s="4"/>
      <c r="L77" s="4"/>
      <c r="M77" s="4"/>
      <c r="N77" s="4"/>
      <c r="O77" s="4"/>
      <c r="P77" s="4"/>
      <c r="Q77" s="4"/>
      <c r="R77" s="4"/>
      <c r="S77" s="4"/>
      <c r="T77" s="4"/>
      <c r="U77" s="4"/>
      <c r="V77" s="4"/>
      <c r="W77" s="4"/>
      <c r="X77" s="4"/>
      <c r="Y77" s="4"/>
      <c r="Z77" s="1"/>
    </row>
    <row r="78" spans="1:26" ht="13.5" customHeight="1">
      <c r="A78" s="1"/>
      <c r="B78" s="4"/>
      <c r="C78" s="4"/>
      <c r="D78" s="4"/>
      <c r="E78" s="4"/>
      <c r="F78" s="4"/>
      <c r="G78" s="4"/>
      <c r="H78" s="4"/>
      <c r="I78" s="4"/>
      <c r="J78" s="4"/>
      <c r="K78" s="4"/>
      <c r="L78" s="4"/>
      <c r="M78" s="4"/>
      <c r="N78" s="4"/>
      <c r="O78" s="4"/>
      <c r="P78" s="4"/>
      <c r="Q78" s="4"/>
      <c r="R78" s="4"/>
      <c r="S78" s="4"/>
      <c r="T78" s="4"/>
      <c r="U78" s="4"/>
      <c r="V78" s="4"/>
      <c r="W78" s="4"/>
      <c r="X78" s="4"/>
      <c r="Y78" s="4"/>
      <c r="Z78" s="1"/>
    </row>
    <row r="79" spans="1:26" ht="13.5" customHeight="1">
      <c r="A79" s="1"/>
      <c r="B79" s="4"/>
      <c r="C79" s="4"/>
      <c r="D79" s="4"/>
      <c r="E79" s="4"/>
      <c r="F79" s="4"/>
      <c r="G79" s="4"/>
      <c r="H79" s="4"/>
      <c r="I79" s="4"/>
      <c r="J79" s="4"/>
      <c r="K79" s="4"/>
      <c r="L79" s="4"/>
      <c r="M79" s="4"/>
      <c r="N79" s="4"/>
      <c r="O79" s="4"/>
      <c r="P79" s="4"/>
      <c r="Q79" s="4"/>
      <c r="R79" s="4"/>
      <c r="S79" s="4"/>
      <c r="T79" s="4"/>
      <c r="U79" s="4"/>
      <c r="V79" s="4"/>
      <c r="W79" s="4"/>
      <c r="X79" s="4"/>
      <c r="Y79" s="4"/>
      <c r="Z79" s="1"/>
    </row>
    <row r="80" spans="1:26" ht="13.5" customHeight="1">
      <c r="A80" s="1"/>
      <c r="B80" s="4"/>
      <c r="C80" s="4"/>
      <c r="D80" s="4"/>
      <c r="E80" s="4"/>
      <c r="F80" s="4"/>
      <c r="G80" s="4"/>
      <c r="H80" s="4"/>
      <c r="I80" s="4"/>
      <c r="J80" s="4"/>
      <c r="K80" s="4"/>
      <c r="L80" s="4"/>
      <c r="M80" s="4"/>
      <c r="N80" s="4"/>
      <c r="O80" s="4"/>
      <c r="P80" s="4"/>
      <c r="Q80" s="4"/>
      <c r="R80" s="4"/>
      <c r="S80" s="4"/>
      <c r="T80" s="4"/>
      <c r="U80" s="4"/>
      <c r="V80" s="4"/>
      <c r="W80" s="4"/>
      <c r="X80" s="4"/>
      <c r="Y80" s="4"/>
      <c r="Z80" s="1"/>
    </row>
    <row r="81" spans="1:26" ht="13.5" customHeight="1">
      <c r="A81" s="1"/>
      <c r="B81" s="4"/>
      <c r="C81" s="4"/>
      <c r="D81" s="4"/>
      <c r="E81" s="4"/>
      <c r="F81" s="4"/>
      <c r="G81" s="4"/>
      <c r="H81" s="4"/>
      <c r="I81" s="4"/>
      <c r="J81" s="4"/>
      <c r="K81" s="4"/>
      <c r="L81" s="4"/>
      <c r="M81" s="4"/>
      <c r="N81" s="4"/>
      <c r="O81" s="4"/>
      <c r="P81" s="4"/>
      <c r="Q81" s="4"/>
      <c r="R81" s="4"/>
      <c r="S81" s="4"/>
      <c r="T81" s="4"/>
      <c r="U81" s="4"/>
      <c r="V81" s="4"/>
      <c r="W81" s="4"/>
      <c r="X81" s="4"/>
      <c r="Y81" s="4"/>
      <c r="Z81" s="1"/>
    </row>
    <row r="82" spans="1:26" ht="13.5" customHeight="1">
      <c r="A82" s="1"/>
      <c r="B82" s="4"/>
      <c r="C82" s="4"/>
      <c r="D82" s="4"/>
      <c r="E82" s="4"/>
      <c r="F82" s="4"/>
      <c r="G82" s="4"/>
      <c r="H82" s="4"/>
      <c r="I82" s="4"/>
      <c r="J82" s="4"/>
      <c r="K82" s="4"/>
      <c r="L82" s="4"/>
      <c r="M82" s="4"/>
      <c r="N82" s="4"/>
      <c r="O82" s="4"/>
      <c r="P82" s="4"/>
      <c r="Q82" s="4"/>
      <c r="R82" s="4"/>
      <c r="S82" s="4"/>
      <c r="T82" s="4"/>
      <c r="U82" s="4"/>
      <c r="V82" s="4"/>
      <c r="W82" s="4"/>
      <c r="X82" s="4"/>
      <c r="Y82" s="4"/>
      <c r="Z82" s="1"/>
    </row>
    <row r="83" spans="1:26" ht="13.5" customHeight="1">
      <c r="A83" s="1"/>
      <c r="B83" s="4"/>
      <c r="C83" s="4"/>
      <c r="D83" s="4"/>
      <c r="E83" s="4"/>
      <c r="F83" s="4"/>
      <c r="G83" s="4"/>
      <c r="H83" s="4"/>
      <c r="I83" s="4"/>
      <c r="J83" s="4"/>
      <c r="K83" s="4"/>
      <c r="L83" s="4"/>
      <c r="M83" s="4"/>
      <c r="N83" s="4"/>
      <c r="O83" s="4"/>
      <c r="P83" s="4"/>
      <c r="Q83" s="4"/>
      <c r="R83" s="4"/>
      <c r="S83" s="4"/>
      <c r="T83" s="4"/>
      <c r="U83" s="4"/>
      <c r="V83" s="4"/>
      <c r="W83" s="4"/>
      <c r="X83" s="4"/>
      <c r="Y83" s="4"/>
      <c r="Z83" s="1"/>
    </row>
    <row r="84" spans="1:26" ht="13.5" customHeight="1">
      <c r="A84" s="1"/>
      <c r="B84" s="4"/>
      <c r="C84" s="4"/>
      <c r="D84" s="4"/>
      <c r="E84" s="4"/>
      <c r="F84" s="4"/>
      <c r="G84" s="4"/>
      <c r="H84" s="4"/>
      <c r="I84" s="4"/>
      <c r="J84" s="4"/>
      <c r="K84" s="4"/>
      <c r="L84" s="4"/>
      <c r="M84" s="4"/>
      <c r="N84" s="4"/>
      <c r="O84" s="4"/>
      <c r="P84" s="4"/>
      <c r="Q84" s="4"/>
      <c r="R84" s="4"/>
      <c r="S84" s="4"/>
      <c r="T84" s="4"/>
      <c r="U84" s="4"/>
      <c r="V84" s="4"/>
      <c r="W84" s="4"/>
      <c r="X84" s="4"/>
      <c r="Y84" s="4"/>
      <c r="Z84" s="1"/>
    </row>
    <row r="85" spans="1:26" ht="13.5" customHeight="1">
      <c r="A85" s="1"/>
      <c r="B85" s="4"/>
      <c r="C85" s="4"/>
      <c r="D85" s="4"/>
      <c r="E85" s="4"/>
      <c r="F85" s="4"/>
      <c r="G85" s="4"/>
      <c r="H85" s="4"/>
      <c r="I85" s="4"/>
      <c r="J85" s="4"/>
      <c r="K85" s="4"/>
      <c r="L85" s="4"/>
      <c r="M85" s="4"/>
      <c r="N85" s="4"/>
      <c r="O85" s="4"/>
      <c r="P85" s="4"/>
      <c r="Q85" s="4"/>
      <c r="R85" s="4"/>
      <c r="S85" s="4"/>
      <c r="T85" s="4"/>
      <c r="U85" s="4"/>
      <c r="V85" s="4"/>
      <c r="W85" s="4"/>
      <c r="X85" s="4"/>
      <c r="Y85" s="4"/>
      <c r="Z85" s="1"/>
    </row>
    <row r="86" spans="1:26" ht="13.5" customHeight="1">
      <c r="A86" s="1"/>
      <c r="B86" s="4"/>
      <c r="C86" s="4"/>
      <c r="D86" s="4"/>
      <c r="E86" s="4"/>
      <c r="F86" s="4"/>
      <c r="G86" s="4"/>
      <c r="H86" s="4"/>
      <c r="I86" s="4"/>
      <c r="J86" s="4"/>
      <c r="K86" s="4"/>
      <c r="L86" s="4"/>
      <c r="M86" s="4"/>
      <c r="N86" s="4"/>
      <c r="O86" s="4"/>
      <c r="P86" s="4"/>
      <c r="Q86" s="4"/>
      <c r="R86" s="4"/>
      <c r="S86" s="4"/>
      <c r="T86" s="4"/>
      <c r="U86" s="4"/>
      <c r="V86" s="4"/>
      <c r="W86" s="4"/>
      <c r="X86" s="4"/>
      <c r="Y86" s="4"/>
      <c r="Z86" s="1"/>
    </row>
    <row r="87" spans="1:26" ht="13.5" customHeight="1">
      <c r="A87" s="1"/>
      <c r="B87" s="4"/>
      <c r="C87" s="4"/>
      <c r="D87" s="4"/>
      <c r="E87" s="4"/>
      <c r="F87" s="4"/>
      <c r="G87" s="4"/>
      <c r="H87" s="4"/>
      <c r="I87" s="4"/>
      <c r="J87" s="4"/>
      <c r="K87" s="4"/>
      <c r="L87" s="4"/>
      <c r="M87" s="4"/>
      <c r="N87" s="4"/>
      <c r="O87" s="4"/>
      <c r="P87" s="4"/>
      <c r="Q87" s="4"/>
      <c r="R87" s="4"/>
      <c r="S87" s="4"/>
      <c r="T87" s="4"/>
      <c r="U87" s="4"/>
      <c r="V87" s="4"/>
      <c r="W87" s="4"/>
      <c r="X87" s="4"/>
      <c r="Y87" s="4"/>
      <c r="Z87" s="1"/>
    </row>
    <row r="88" spans="1:26" ht="13.5" customHeight="1">
      <c r="A88" s="1"/>
      <c r="B88" s="4"/>
      <c r="C88" s="4"/>
      <c r="D88" s="4"/>
      <c r="E88" s="4"/>
      <c r="F88" s="4"/>
      <c r="G88" s="4"/>
      <c r="H88" s="4"/>
      <c r="I88" s="4"/>
      <c r="J88" s="4"/>
      <c r="K88" s="4"/>
      <c r="L88" s="4"/>
      <c r="M88" s="4"/>
      <c r="N88" s="4"/>
      <c r="O88" s="4"/>
      <c r="P88" s="4"/>
      <c r="Q88" s="4"/>
      <c r="R88" s="4"/>
      <c r="S88" s="4"/>
      <c r="T88" s="4"/>
      <c r="U88" s="4"/>
      <c r="V88" s="4"/>
      <c r="W88" s="4"/>
      <c r="X88" s="4"/>
      <c r="Y88" s="4"/>
      <c r="Z88" s="1"/>
    </row>
    <row r="89" spans="1:26" ht="13.5" customHeight="1">
      <c r="A89" s="1"/>
      <c r="B89" s="4"/>
      <c r="C89" s="4"/>
      <c r="D89" s="4"/>
      <c r="E89" s="4"/>
      <c r="F89" s="4"/>
      <c r="G89" s="4"/>
      <c r="H89" s="4"/>
      <c r="I89" s="4"/>
      <c r="J89" s="4"/>
      <c r="K89" s="4"/>
      <c r="L89" s="4"/>
      <c r="M89" s="4"/>
      <c r="N89" s="4"/>
      <c r="O89" s="4"/>
      <c r="P89" s="4"/>
      <c r="Q89" s="4"/>
      <c r="R89" s="4"/>
      <c r="S89" s="4"/>
      <c r="T89" s="4"/>
      <c r="U89" s="4"/>
      <c r="V89" s="4"/>
      <c r="W89" s="4"/>
      <c r="X89" s="4"/>
      <c r="Y89" s="4"/>
      <c r="Z89" s="1"/>
    </row>
    <row r="90" spans="1:26" ht="13.5" customHeight="1">
      <c r="A90" s="1"/>
      <c r="B90" s="4"/>
      <c r="C90" s="4"/>
      <c r="D90" s="4"/>
      <c r="E90" s="4"/>
      <c r="F90" s="4"/>
      <c r="G90" s="4"/>
      <c r="H90" s="4"/>
      <c r="I90" s="4"/>
      <c r="J90" s="4"/>
      <c r="K90" s="4"/>
      <c r="L90" s="4"/>
      <c r="M90" s="4"/>
      <c r="N90" s="4"/>
      <c r="O90" s="4"/>
      <c r="P90" s="4"/>
      <c r="Q90" s="4"/>
      <c r="R90" s="4"/>
      <c r="S90" s="4"/>
      <c r="T90" s="4"/>
      <c r="U90" s="4"/>
      <c r="V90" s="4"/>
      <c r="W90" s="4"/>
      <c r="X90" s="4"/>
      <c r="Y90" s="4"/>
      <c r="Z90" s="1"/>
    </row>
    <row r="91" spans="1:26" ht="13.5" customHeight="1">
      <c r="A91" s="1"/>
      <c r="B91" s="4"/>
      <c r="C91" s="4"/>
      <c r="D91" s="4"/>
      <c r="E91" s="4"/>
      <c r="F91" s="4"/>
      <c r="G91" s="4"/>
      <c r="H91" s="4"/>
      <c r="I91" s="4"/>
      <c r="J91" s="4"/>
      <c r="K91" s="4"/>
      <c r="L91" s="4"/>
      <c r="M91" s="4"/>
      <c r="N91" s="4"/>
      <c r="O91" s="4"/>
      <c r="P91" s="4"/>
      <c r="Q91" s="4"/>
      <c r="R91" s="4"/>
      <c r="S91" s="4"/>
      <c r="T91" s="4"/>
      <c r="U91" s="4"/>
      <c r="V91" s="4"/>
      <c r="W91" s="4"/>
      <c r="X91" s="4"/>
      <c r="Y91" s="4"/>
      <c r="Z91" s="1"/>
    </row>
    <row r="92" spans="1:26" ht="13.5" customHeight="1">
      <c r="A92" s="1"/>
      <c r="B92" s="4"/>
      <c r="C92" s="4"/>
      <c r="D92" s="4"/>
      <c r="E92" s="4"/>
      <c r="F92" s="4"/>
      <c r="G92" s="4"/>
      <c r="H92" s="4"/>
      <c r="I92" s="4"/>
      <c r="J92" s="4"/>
      <c r="K92" s="4"/>
      <c r="L92" s="4"/>
      <c r="M92" s="4"/>
      <c r="N92" s="4"/>
      <c r="O92" s="4"/>
      <c r="P92" s="4"/>
      <c r="Q92" s="4"/>
      <c r="R92" s="4"/>
      <c r="S92" s="4"/>
      <c r="T92" s="4"/>
      <c r="U92" s="4"/>
      <c r="V92" s="4"/>
      <c r="W92" s="4"/>
      <c r="X92" s="4"/>
      <c r="Y92" s="4"/>
      <c r="Z92" s="1"/>
    </row>
    <row r="93" spans="1:26" ht="13.5" customHeight="1">
      <c r="A93" s="1"/>
      <c r="B93" s="4"/>
      <c r="C93" s="4"/>
      <c r="D93" s="4"/>
      <c r="E93" s="4"/>
      <c r="F93" s="4"/>
      <c r="G93" s="4"/>
      <c r="H93" s="4"/>
      <c r="I93" s="4"/>
      <c r="J93" s="4"/>
      <c r="K93" s="4"/>
      <c r="L93" s="4"/>
      <c r="M93" s="4"/>
      <c r="N93" s="4"/>
      <c r="O93" s="4"/>
      <c r="P93" s="4"/>
      <c r="Q93" s="4"/>
      <c r="R93" s="4"/>
      <c r="S93" s="4"/>
      <c r="T93" s="4"/>
      <c r="U93" s="4"/>
      <c r="V93" s="4"/>
      <c r="W93" s="4"/>
      <c r="X93" s="4"/>
      <c r="Y93" s="4"/>
      <c r="Z93" s="1"/>
    </row>
    <row r="94" spans="1:26" ht="13.5" customHeight="1">
      <c r="A94" s="1"/>
      <c r="B94" s="4"/>
      <c r="C94" s="4"/>
      <c r="D94" s="4"/>
      <c r="E94" s="4"/>
      <c r="F94" s="4"/>
      <c r="G94" s="4"/>
      <c r="H94" s="4"/>
      <c r="I94" s="4"/>
      <c r="J94" s="4"/>
      <c r="K94" s="4"/>
      <c r="L94" s="4"/>
      <c r="M94" s="4"/>
      <c r="N94" s="4"/>
      <c r="O94" s="4"/>
      <c r="P94" s="4"/>
      <c r="Q94" s="4"/>
      <c r="R94" s="4"/>
      <c r="S94" s="4"/>
      <c r="T94" s="4"/>
      <c r="U94" s="4"/>
      <c r="V94" s="4"/>
      <c r="W94" s="4"/>
      <c r="X94" s="4"/>
      <c r="Y94" s="4"/>
      <c r="Z94" s="1"/>
    </row>
    <row r="95" spans="1:26" ht="13.5" customHeight="1">
      <c r="A95" s="1"/>
      <c r="B95" s="4"/>
      <c r="C95" s="4"/>
      <c r="D95" s="4"/>
      <c r="E95" s="4"/>
      <c r="F95" s="4"/>
      <c r="G95" s="4"/>
      <c r="H95" s="4"/>
      <c r="I95" s="4"/>
      <c r="J95" s="4"/>
      <c r="K95" s="4"/>
      <c r="L95" s="4"/>
      <c r="M95" s="4"/>
      <c r="N95" s="4"/>
      <c r="O95" s="4"/>
      <c r="P95" s="4"/>
      <c r="Q95" s="4"/>
      <c r="R95" s="4"/>
      <c r="S95" s="4"/>
      <c r="T95" s="4"/>
      <c r="U95" s="4"/>
      <c r="V95" s="4"/>
      <c r="W95" s="4"/>
      <c r="X95" s="4"/>
      <c r="Y95" s="4"/>
      <c r="Z95" s="1"/>
    </row>
    <row r="96" spans="1:26" ht="13.5" customHeight="1">
      <c r="A96" s="1"/>
      <c r="B96" s="4"/>
      <c r="C96" s="4"/>
      <c r="D96" s="4"/>
      <c r="E96" s="4"/>
      <c r="F96" s="4"/>
      <c r="G96" s="4"/>
      <c r="H96" s="4"/>
      <c r="I96" s="4"/>
      <c r="J96" s="4"/>
      <c r="K96" s="4"/>
      <c r="L96" s="4"/>
      <c r="M96" s="4"/>
      <c r="N96" s="4"/>
      <c r="O96" s="4"/>
      <c r="P96" s="4"/>
      <c r="Q96" s="4"/>
      <c r="R96" s="4"/>
      <c r="S96" s="4"/>
      <c r="T96" s="4"/>
      <c r="U96" s="4"/>
      <c r="V96" s="4"/>
      <c r="W96" s="4"/>
      <c r="X96" s="4"/>
      <c r="Y96" s="4"/>
      <c r="Z96" s="1"/>
    </row>
    <row r="97" spans="1:26" ht="13.5" customHeight="1">
      <c r="A97" s="1"/>
      <c r="B97" s="4"/>
      <c r="C97" s="4"/>
      <c r="D97" s="4"/>
      <c r="E97" s="4"/>
      <c r="F97" s="4"/>
      <c r="G97" s="4"/>
      <c r="H97" s="4"/>
      <c r="I97" s="4"/>
      <c r="J97" s="4"/>
      <c r="K97" s="4"/>
      <c r="L97" s="4"/>
      <c r="M97" s="4"/>
      <c r="N97" s="4"/>
      <c r="O97" s="4"/>
      <c r="P97" s="4"/>
      <c r="Q97" s="4"/>
      <c r="R97" s="4"/>
      <c r="S97" s="4"/>
      <c r="T97" s="4"/>
      <c r="U97" s="4"/>
      <c r="V97" s="4"/>
      <c r="W97" s="4"/>
      <c r="X97" s="4"/>
      <c r="Y97" s="4"/>
      <c r="Z97" s="1"/>
    </row>
    <row r="98" spans="1:26" ht="13.5" customHeight="1">
      <c r="A98" s="1"/>
      <c r="B98" s="4"/>
      <c r="C98" s="4"/>
      <c r="D98" s="4"/>
      <c r="E98" s="4"/>
      <c r="F98" s="4"/>
      <c r="G98" s="4"/>
      <c r="H98" s="4"/>
      <c r="I98" s="4"/>
      <c r="J98" s="4"/>
      <c r="K98" s="4"/>
      <c r="L98" s="4"/>
      <c r="M98" s="4"/>
      <c r="N98" s="4"/>
      <c r="O98" s="4"/>
      <c r="P98" s="4"/>
      <c r="Q98" s="4"/>
      <c r="R98" s="4"/>
      <c r="S98" s="4"/>
      <c r="T98" s="4"/>
      <c r="U98" s="4"/>
      <c r="V98" s="4"/>
      <c r="W98" s="4"/>
      <c r="X98" s="4"/>
      <c r="Y98" s="4"/>
      <c r="Z98" s="1"/>
    </row>
    <row r="99" spans="1:26" ht="13.5" customHeight="1">
      <c r="A99" s="1"/>
      <c r="B99" s="4"/>
      <c r="C99" s="4"/>
      <c r="D99" s="4"/>
      <c r="E99" s="4"/>
      <c r="F99" s="4"/>
      <c r="G99" s="4"/>
      <c r="H99" s="4"/>
      <c r="I99" s="4"/>
      <c r="J99" s="4"/>
      <c r="K99" s="4"/>
      <c r="L99" s="4"/>
      <c r="M99" s="4"/>
      <c r="N99" s="4"/>
      <c r="O99" s="4"/>
      <c r="P99" s="4"/>
      <c r="Q99" s="4"/>
      <c r="R99" s="4"/>
      <c r="S99" s="4"/>
      <c r="T99" s="4"/>
      <c r="U99" s="4"/>
      <c r="V99" s="4"/>
      <c r="W99" s="4"/>
      <c r="X99" s="4"/>
      <c r="Y99" s="4"/>
      <c r="Z99" s="1"/>
    </row>
    <row r="100" spans="1:26" ht="13.5" customHeight="1">
      <c r="A100" s="1"/>
      <c r="B100" s="4"/>
      <c r="C100" s="4"/>
      <c r="D100" s="4"/>
      <c r="E100" s="4"/>
      <c r="F100" s="4"/>
      <c r="G100" s="4"/>
      <c r="H100" s="4"/>
      <c r="I100" s="4"/>
      <c r="J100" s="4"/>
      <c r="K100" s="4"/>
      <c r="L100" s="4"/>
      <c r="M100" s="4"/>
      <c r="N100" s="4"/>
      <c r="O100" s="4"/>
      <c r="P100" s="4"/>
      <c r="Q100" s="4"/>
      <c r="R100" s="4"/>
      <c r="S100" s="4"/>
      <c r="T100" s="4"/>
      <c r="U100" s="4"/>
      <c r="V100" s="4"/>
      <c r="W100" s="4"/>
      <c r="X100" s="4"/>
      <c r="Y100" s="4"/>
      <c r="Z100" s="1"/>
    </row>
    <row r="101" spans="1:26" ht="13.5" customHeight="1">
      <c r="A101" s="1"/>
      <c r="B101" s="4"/>
      <c r="C101" s="4"/>
      <c r="D101" s="4"/>
      <c r="E101" s="4"/>
      <c r="F101" s="4"/>
      <c r="G101" s="4"/>
      <c r="H101" s="4"/>
      <c r="I101" s="4"/>
      <c r="J101" s="4"/>
      <c r="K101" s="4"/>
      <c r="L101" s="4"/>
      <c r="M101" s="4"/>
      <c r="N101" s="4"/>
      <c r="O101" s="4"/>
      <c r="P101" s="4"/>
      <c r="Q101" s="4"/>
      <c r="R101" s="4"/>
      <c r="S101" s="4"/>
      <c r="T101" s="4"/>
      <c r="U101" s="4"/>
      <c r="V101" s="4"/>
      <c r="W101" s="4"/>
      <c r="X101" s="4"/>
      <c r="Y101" s="4"/>
      <c r="Z101" s="1"/>
    </row>
    <row r="102" spans="1:26" ht="13.5" customHeight="1">
      <c r="A102" s="1"/>
      <c r="B102" s="4"/>
      <c r="C102" s="4"/>
      <c r="D102" s="4"/>
      <c r="E102" s="4"/>
      <c r="F102" s="4"/>
      <c r="G102" s="4"/>
      <c r="H102" s="4"/>
      <c r="I102" s="4"/>
      <c r="J102" s="4"/>
      <c r="K102" s="4"/>
      <c r="L102" s="4"/>
      <c r="M102" s="4"/>
      <c r="N102" s="4"/>
      <c r="O102" s="4"/>
      <c r="P102" s="4"/>
      <c r="Q102" s="4"/>
      <c r="R102" s="4"/>
      <c r="S102" s="4"/>
      <c r="T102" s="4"/>
      <c r="U102" s="4"/>
      <c r="V102" s="4"/>
      <c r="W102" s="4"/>
      <c r="X102" s="4"/>
      <c r="Y102" s="4"/>
      <c r="Z102" s="1"/>
    </row>
    <row r="103" spans="1:26" ht="13.5" customHeight="1">
      <c r="A103" s="1"/>
      <c r="B103" s="4"/>
      <c r="C103" s="4"/>
      <c r="D103" s="4"/>
      <c r="E103" s="4"/>
      <c r="F103" s="4"/>
      <c r="G103" s="4"/>
      <c r="H103" s="4"/>
      <c r="I103" s="4"/>
      <c r="J103" s="4"/>
      <c r="K103" s="4"/>
      <c r="L103" s="4"/>
      <c r="M103" s="4"/>
      <c r="N103" s="4"/>
      <c r="O103" s="4"/>
      <c r="P103" s="4"/>
      <c r="Q103" s="4"/>
      <c r="R103" s="4"/>
      <c r="S103" s="4"/>
      <c r="T103" s="4"/>
      <c r="U103" s="4"/>
      <c r="V103" s="4"/>
      <c r="W103" s="4"/>
      <c r="X103" s="4"/>
      <c r="Y103" s="4"/>
      <c r="Z103" s="1"/>
    </row>
    <row r="104" spans="1:26" ht="13.5" customHeight="1">
      <c r="A104" s="1"/>
      <c r="B104" s="4"/>
      <c r="C104" s="4"/>
      <c r="D104" s="4"/>
      <c r="E104" s="4"/>
      <c r="F104" s="4"/>
      <c r="G104" s="4"/>
      <c r="H104" s="4"/>
      <c r="I104" s="4"/>
      <c r="J104" s="4"/>
      <c r="K104" s="4"/>
      <c r="L104" s="4"/>
      <c r="M104" s="4"/>
      <c r="N104" s="4"/>
      <c r="O104" s="4"/>
      <c r="P104" s="4"/>
      <c r="Q104" s="4"/>
      <c r="R104" s="4"/>
      <c r="S104" s="4"/>
      <c r="T104" s="4"/>
      <c r="U104" s="4"/>
      <c r="V104" s="4"/>
      <c r="W104" s="4"/>
      <c r="X104" s="4"/>
      <c r="Y104" s="4"/>
      <c r="Z104" s="1"/>
    </row>
    <row r="105" spans="1:26" ht="13.5" customHeight="1">
      <c r="A105" s="1"/>
      <c r="B105" s="4"/>
      <c r="C105" s="4"/>
      <c r="D105" s="4"/>
      <c r="E105" s="4"/>
      <c r="F105" s="4"/>
      <c r="G105" s="4"/>
      <c r="H105" s="4"/>
      <c r="I105" s="4"/>
      <c r="J105" s="4"/>
      <c r="K105" s="4"/>
      <c r="L105" s="4"/>
      <c r="M105" s="4"/>
      <c r="N105" s="4"/>
      <c r="O105" s="4"/>
      <c r="P105" s="4"/>
      <c r="Q105" s="4"/>
      <c r="R105" s="4"/>
      <c r="S105" s="4"/>
      <c r="T105" s="4"/>
      <c r="U105" s="4"/>
      <c r="V105" s="4"/>
      <c r="W105" s="4"/>
      <c r="X105" s="4"/>
      <c r="Y105" s="4"/>
      <c r="Z105" s="1"/>
    </row>
    <row r="106" spans="1:26" ht="13.5" customHeight="1">
      <c r="A106" s="1"/>
      <c r="B106" s="4"/>
      <c r="C106" s="4"/>
      <c r="D106" s="4"/>
      <c r="E106" s="4"/>
      <c r="F106" s="4"/>
      <c r="G106" s="4"/>
      <c r="H106" s="4"/>
      <c r="I106" s="4"/>
      <c r="J106" s="4"/>
      <c r="K106" s="4"/>
      <c r="L106" s="4"/>
      <c r="M106" s="4"/>
      <c r="N106" s="4"/>
      <c r="O106" s="4"/>
      <c r="P106" s="4"/>
      <c r="Q106" s="4"/>
      <c r="R106" s="4"/>
      <c r="S106" s="4"/>
      <c r="T106" s="4"/>
      <c r="U106" s="4"/>
      <c r="V106" s="4"/>
      <c r="W106" s="4"/>
      <c r="X106" s="4"/>
      <c r="Y106" s="4"/>
      <c r="Z106" s="1"/>
    </row>
    <row r="107" spans="1:26" ht="13.5" customHeight="1">
      <c r="A107" s="1"/>
      <c r="B107" s="4"/>
      <c r="C107" s="4"/>
      <c r="D107" s="4"/>
      <c r="E107" s="4"/>
      <c r="F107" s="4"/>
      <c r="G107" s="4"/>
      <c r="H107" s="4"/>
      <c r="I107" s="4"/>
      <c r="J107" s="4"/>
      <c r="K107" s="4"/>
      <c r="L107" s="4"/>
      <c r="M107" s="4"/>
      <c r="N107" s="4"/>
      <c r="O107" s="4"/>
      <c r="P107" s="4"/>
      <c r="Q107" s="4"/>
      <c r="R107" s="4"/>
      <c r="S107" s="4"/>
      <c r="T107" s="4"/>
      <c r="U107" s="4"/>
      <c r="V107" s="4"/>
      <c r="W107" s="4"/>
      <c r="X107" s="4"/>
      <c r="Y107" s="4"/>
      <c r="Z107" s="1"/>
    </row>
    <row r="108" spans="1:26" ht="13.5" customHeight="1">
      <c r="A108" s="1"/>
      <c r="B108" s="4"/>
      <c r="C108" s="4"/>
      <c r="D108" s="4"/>
      <c r="E108" s="4"/>
      <c r="F108" s="4"/>
      <c r="G108" s="4"/>
      <c r="H108" s="4"/>
      <c r="I108" s="4"/>
      <c r="J108" s="4"/>
      <c r="K108" s="4"/>
      <c r="L108" s="4"/>
      <c r="M108" s="4"/>
      <c r="N108" s="4"/>
      <c r="O108" s="4"/>
      <c r="P108" s="4"/>
      <c r="Q108" s="4"/>
      <c r="R108" s="4"/>
      <c r="S108" s="4"/>
      <c r="T108" s="4"/>
      <c r="U108" s="4"/>
      <c r="V108" s="4"/>
      <c r="W108" s="4"/>
      <c r="X108" s="4"/>
      <c r="Y108" s="4"/>
      <c r="Z108" s="1"/>
    </row>
    <row r="109" spans="1:26" ht="13.5" customHeight="1">
      <c r="A109" s="1"/>
      <c r="B109" s="4"/>
      <c r="C109" s="4"/>
      <c r="D109" s="4"/>
      <c r="E109" s="4"/>
      <c r="F109" s="4"/>
      <c r="G109" s="4"/>
      <c r="H109" s="4"/>
      <c r="I109" s="4"/>
      <c r="J109" s="4"/>
      <c r="K109" s="4"/>
      <c r="L109" s="4"/>
      <c r="M109" s="4"/>
      <c r="N109" s="4"/>
      <c r="O109" s="4"/>
      <c r="P109" s="4"/>
      <c r="Q109" s="4"/>
      <c r="R109" s="4"/>
      <c r="S109" s="4"/>
      <c r="T109" s="4"/>
      <c r="U109" s="4"/>
      <c r="V109" s="4"/>
      <c r="W109" s="4"/>
      <c r="X109" s="4"/>
      <c r="Y109" s="4"/>
      <c r="Z109" s="1"/>
    </row>
    <row r="110" spans="1:26" ht="13.5" customHeight="1">
      <c r="A110" s="1"/>
      <c r="B110" s="4"/>
      <c r="C110" s="4"/>
      <c r="D110" s="4"/>
      <c r="E110" s="4"/>
      <c r="F110" s="4"/>
      <c r="G110" s="4"/>
      <c r="H110" s="4"/>
      <c r="I110" s="4"/>
      <c r="J110" s="4"/>
      <c r="K110" s="4"/>
      <c r="L110" s="4"/>
      <c r="M110" s="4"/>
      <c r="N110" s="4"/>
      <c r="O110" s="4"/>
      <c r="P110" s="4"/>
      <c r="Q110" s="4"/>
      <c r="R110" s="4"/>
      <c r="S110" s="4"/>
      <c r="T110" s="4"/>
      <c r="U110" s="4"/>
      <c r="V110" s="4"/>
      <c r="W110" s="4"/>
      <c r="X110" s="4"/>
      <c r="Y110" s="4"/>
      <c r="Z110" s="1"/>
    </row>
    <row r="111" spans="1:26" ht="13.5" customHeight="1">
      <c r="A111" s="1"/>
      <c r="B111" s="4"/>
      <c r="C111" s="4"/>
      <c r="D111" s="4"/>
      <c r="E111" s="4"/>
      <c r="F111" s="4"/>
      <c r="G111" s="4"/>
      <c r="H111" s="4"/>
      <c r="I111" s="4"/>
      <c r="J111" s="4"/>
      <c r="K111" s="4"/>
      <c r="L111" s="4"/>
      <c r="M111" s="4"/>
      <c r="N111" s="4"/>
      <c r="O111" s="4"/>
      <c r="P111" s="4"/>
      <c r="Q111" s="4"/>
      <c r="R111" s="4"/>
      <c r="S111" s="4"/>
      <c r="T111" s="4"/>
      <c r="U111" s="4"/>
      <c r="V111" s="4"/>
      <c r="W111" s="4"/>
      <c r="X111" s="4"/>
      <c r="Y111" s="4"/>
      <c r="Z111" s="1"/>
    </row>
    <row r="112" spans="1:26" ht="13.5" customHeight="1">
      <c r="A112" s="1"/>
      <c r="B112" s="4"/>
      <c r="C112" s="4"/>
      <c r="D112" s="4"/>
      <c r="E112" s="4"/>
      <c r="F112" s="4"/>
      <c r="G112" s="4"/>
      <c r="H112" s="4"/>
      <c r="I112" s="4"/>
      <c r="J112" s="4"/>
      <c r="K112" s="4"/>
      <c r="L112" s="4"/>
      <c r="M112" s="4"/>
      <c r="N112" s="4"/>
      <c r="O112" s="4"/>
      <c r="P112" s="4"/>
      <c r="Q112" s="4"/>
      <c r="R112" s="4"/>
      <c r="S112" s="4"/>
      <c r="T112" s="4"/>
      <c r="U112" s="4"/>
      <c r="V112" s="4"/>
      <c r="W112" s="4"/>
      <c r="X112" s="4"/>
      <c r="Y112" s="4"/>
      <c r="Z112" s="1"/>
    </row>
    <row r="113" spans="1:26" ht="13.5" customHeight="1">
      <c r="A113" s="1"/>
      <c r="B113" s="4"/>
      <c r="C113" s="4"/>
      <c r="D113" s="4"/>
      <c r="E113" s="4"/>
      <c r="F113" s="4"/>
      <c r="G113" s="4"/>
      <c r="H113" s="4"/>
      <c r="I113" s="4"/>
      <c r="J113" s="4"/>
      <c r="K113" s="4"/>
      <c r="L113" s="4"/>
      <c r="M113" s="4"/>
      <c r="N113" s="4"/>
      <c r="O113" s="4"/>
      <c r="P113" s="4"/>
      <c r="Q113" s="4"/>
      <c r="R113" s="4"/>
      <c r="S113" s="4"/>
      <c r="T113" s="4"/>
      <c r="U113" s="4"/>
      <c r="V113" s="4"/>
      <c r="W113" s="4"/>
      <c r="X113" s="4"/>
      <c r="Y113" s="4"/>
      <c r="Z113" s="1"/>
    </row>
    <row r="114" spans="1:26" ht="13.5" customHeight="1">
      <c r="A114" s="1"/>
      <c r="B114" s="4"/>
      <c r="C114" s="4"/>
      <c r="D114" s="4"/>
      <c r="E114" s="4"/>
      <c r="F114" s="4"/>
      <c r="G114" s="4"/>
      <c r="H114" s="4"/>
      <c r="I114" s="4"/>
      <c r="J114" s="4"/>
      <c r="K114" s="4"/>
      <c r="L114" s="4"/>
      <c r="M114" s="4"/>
      <c r="N114" s="4"/>
      <c r="O114" s="4"/>
      <c r="P114" s="4"/>
      <c r="Q114" s="4"/>
      <c r="R114" s="4"/>
      <c r="S114" s="4"/>
      <c r="T114" s="4"/>
      <c r="U114" s="4"/>
      <c r="V114" s="4"/>
      <c r="W114" s="4"/>
      <c r="X114" s="4"/>
      <c r="Y114" s="4"/>
      <c r="Z114" s="1"/>
    </row>
    <row r="115" spans="1:26" ht="13.5" customHeight="1">
      <c r="A115" s="1"/>
      <c r="B115" s="4"/>
      <c r="C115" s="4"/>
      <c r="D115" s="4"/>
      <c r="E115" s="4"/>
      <c r="F115" s="4"/>
      <c r="G115" s="4"/>
      <c r="H115" s="4"/>
      <c r="I115" s="4"/>
      <c r="J115" s="4"/>
      <c r="K115" s="4"/>
      <c r="L115" s="4"/>
      <c r="M115" s="4"/>
      <c r="N115" s="4"/>
      <c r="O115" s="4"/>
      <c r="P115" s="4"/>
      <c r="Q115" s="4"/>
      <c r="R115" s="4"/>
      <c r="S115" s="4"/>
      <c r="T115" s="4"/>
      <c r="U115" s="4"/>
      <c r="V115" s="4"/>
      <c r="W115" s="4"/>
      <c r="X115" s="4"/>
      <c r="Y115" s="4"/>
      <c r="Z115" s="1"/>
    </row>
    <row r="116" spans="1:26" ht="13.5" customHeight="1">
      <c r="A116" s="1"/>
      <c r="B116" s="4"/>
      <c r="C116" s="4"/>
      <c r="D116" s="4"/>
      <c r="E116" s="4"/>
      <c r="F116" s="4"/>
      <c r="G116" s="4"/>
      <c r="H116" s="4"/>
      <c r="I116" s="4"/>
      <c r="J116" s="4"/>
      <c r="K116" s="4"/>
      <c r="L116" s="4"/>
      <c r="M116" s="4"/>
      <c r="N116" s="4"/>
      <c r="O116" s="4"/>
      <c r="P116" s="4"/>
      <c r="Q116" s="4"/>
      <c r="R116" s="4"/>
      <c r="S116" s="4"/>
      <c r="T116" s="4"/>
      <c r="U116" s="4"/>
      <c r="V116" s="4"/>
      <c r="W116" s="4"/>
      <c r="X116" s="4"/>
      <c r="Y116" s="4"/>
      <c r="Z116" s="1"/>
    </row>
    <row r="117" spans="1:26" ht="13.5" customHeight="1">
      <c r="A117" s="1"/>
      <c r="B117" s="4"/>
      <c r="C117" s="4"/>
      <c r="D117" s="4"/>
      <c r="E117" s="4"/>
      <c r="F117" s="4"/>
      <c r="G117" s="4"/>
      <c r="H117" s="4"/>
      <c r="I117" s="4"/>
      <c r="J117" s="4"/>
      <c r="K117" s="4"/>
      <c r="L117" s="4"/>
      <c r="M117" s="4"/>
      <c r="N117" s="4"/>
      <c r="O117" s="4"/>
      <c r="P117" s="4"/>
      <c r="Q117" s="4"/>
      <c r="R117" s="4"/>
      <c r="S117" s="4"/>
      <c r="T117" s="4"/>
      <c r="U117" s="4"/>
      <c r="V117" s="4"/>
      <c r="W117" s="4"/>
      <c r="X117" s="4"/>
      <c r="Y117" s="4"/>
      <c r="Z117" s="1"/>
    </row>
    <row r="118" spans="1:26" ht="13.5" customHeight="1">
      <c r="A118" s="1"/>
      <c r="B118" s="4"/>
      <c r="C118" s="4"/>
      <c r="D118" s="4"/>
      <c r="E118" s="4"/>
      <c r="F118" s="4"/>
      <c r="G118" s="4"/>
      <c r="H118" s="4"/>
      <c r="I118" s="4"/>
      <c r="J118" s="4"/>
      <c r="K118" s="4"/>
      <c r="L118" s="4"/>
      <c r="M118" s="4"/>
      <c r="N118" s="4"/>
      <c r="O118" s="4"/>
      <c r="P118" s="4"/>
      <c r="Q118" s="4"/>
      <c r="R118" s="4"/>
      <c r="S118" s="4"/>
      <c r="T118" s="4"/>
      <c r="U118" s="4"/>
      <c r="V118" s="4"/>
      <c r="W118" s="4"/>
      <c r="X118" s="4"/>
      <c r="Y118" s="4"/>
      <c r="Z118" s="1"/>
    </row>
    <row r="119" spans="1:26" ht="13.5" customHeight="1">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1"/>
    </row>
    <row r="120" spans="1:26" ht="13.5" customHeight="1">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1"/>
    </row>
    <row r="121" spans="1:26" ht="13.5" customHeight="1">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1"/>
    </row>
    <row r="122" spans="1:26" ht="13.5" customHeight="1">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1"/>
    </row>
    <row r="123" spans="1:26" ht="13.5" customHeight="1">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1"/>
    </row>
    <row r="124" spans="1:26" ht="13.5" customHeight="1">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1"/>
    </row>
    <row r="125" spans="1:26" ht="13.5" customHeight="1">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1"/>
    </row>
    <row r="126" spans="1:26" ht="13.5" customHeight="1">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1"/>
    </row>
    <row r="127" spans="1:26" ht="13.5" customHeight="1">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1"/>
    </row>
    <row r="128" spans="1:26" ht="13.5" customHeight="1">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1"/>
    </row>
    <row r="129" spans="1:26" ht="13.5" customHeight="1">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1"/>
    </row>
    <row r="130" spans="1:26" ht="13.5" customHeight="1">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1"/>
    </row>
    <row r="131" spans="1:26" ht="13.5" customHeight="1">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1"/>
    </row>
    <row r="132" spans="1:26" ht="13.5" customHeight="1">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1"/>
    </row>
    <row r="133" spans="1:26" ht="13.5" customHeight="1">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1"/>
    </row>
    <row r="134" spans="1:26" ht="13.5" customHeight="1">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1"/>
    </row>
    <row r="135" spans="1:26" ht="13.5" customHeight="1">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1"/>
    </row>
    <row r="136" spans="1:26" ht="13.5" customHeight="1">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1"/>
    </row>
    <row r="137" spans="1:26" ht="13.5" customHeight="1">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1"/>
    </row>
    <row r="138" spans="1:26" ht="13.5" customHeight="1">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1"/>
    </row>
    <row r="139" spans="1:26" ht="13.5" customHeight="1">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1"/>
    </row>
    <row r="140" spans="1:26" ht="13.5" customHeight="1">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1"/>
    </row>
    <row r="141" spans="1:26" ht="13.5" customHeight="1">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1"/>
    </row>
    <row r="142" spans="1:26" ht="13.5" customHeight="1">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1"/>
    </row>
    <row r="143" spans="1:26" ht="13.5" customHeight="1">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1"/>
    </row>
    <row r="144" spans="1:26" ht="13.5" customHeight="1">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1"/>
    </row>
    <row r="145" spans="1:26" ht="13.5" customHeight="1">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1"/>
    </row>
    <row r="146" spans="1:26" ht="13.5" customHeight="1">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1"/>
    </row>
    <row r="147" spans="1:26" ht="13.5" customHeight="1">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1"/>
    </row>
    <row r="148" spans="1:26" ht="13.5" customHeight="1">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1"/>
    </row>
    <row r="149" spans="1:26" ht="13.5" customHeight="1">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1"/>
    </row>
    <row r="150" spans="1:26" ht="13.5" customHeight="1">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1"/>
    </row>
    <row r="151" spans="1:26" ht="13.5" customHeight="1">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1"/>
    </row>
    <row r="152" spans="1:26" ht="13.5" customHeight="1">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1"/>
    </row>
    <row r="153" spans="1:26" ht="13.5" customHeight="1">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1"/>
    </row>
    <row r="154" spans="1:26" ht="13.5" customHeight="1">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1"/>
    </row>
    <row r="155" spans="1:26" ht="13.5" customHeight="1">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1"/>
    </row>
    <row r="156" spans="1:26" ht="13.5" customHeight="1">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1"/>
    </row>
    <row r="157" spans="1:26" ht="13.5" customHeight="1">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1"/>
    </row>
    <row r="158" spans="1:26" ht="13.5" customHeight="1">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1"/>
    </row>
    <row r="159" spans="1:26" ht="13.5" customHeight="1">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1"/>
    </row>
    <row r="160" spans="1:26" ht="13.5" customHeight="1">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1"/>
    </row>
    <row r="161" spans="1:26" ht="13.5" customHeight="1">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1"/>
    </row>
    <row r="162" spans="1:26" ht="13.5" customHeight="1">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1"/>
    </row>
    <row r="163" spans="1:26" ht="13.5" customHeight="1">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1"/>
    </row>
    <row r="164" spans="1:26" ht="13.5" customHeight="1">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1"/>
    </row>
    <row r="165" spans="1:26" ht="13.5" customHeight="1">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1"/>
    </row>
    <row r="166" spans="1:26" ht="13.5" customHeight="1">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1"/>
    </row>
    <row r="167" spans="1:26" ht="13.5" customHeight="1">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1"/>
    </row>
    <row r="168" spans="1:26" ht="13.5" customHeight="1">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1"/>
    </row>
    <row r="169" spans="1:26" ht="13.5" customHeight="1">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1"/>
    </row>
    <row r="170" spans="1:26" ht="13.5" customHeight="1">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1"/>
    </row>
    <row r="171" spans="1:26" ht="13.5" customHeight="1">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1"/>
    </row>
    <row r="172" spans="1:26" ht="13.5" customHeight="1">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1"/>
    </row>
    <row r="173" spans="1:26" ht="13.5" customHeight="1">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1"/>
    </row>
    <row r="174" spans="1:26" ht="13.5" customHeight="1">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1"/>
    </row>
    <row r="175" spans="1:26" ht="13.5" customHeight="1">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1"/>
    </row>
    <row r="176" spans="1:26" ht="13.5" customHeight="1">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1"/>
    </row>
    <row r="177" spans="1:26" ht="13.5" customHeight="1">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1"/>
    </row>
    <row r="178" spans="1:26" ht="13.5" customHeight="1">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1"/>
    </row>
    <row r="179" spans="1:26" ht="13.5" customHeight="1">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1"/>
    </row>
    <row r="180" spans="1:26" ht="13.5" customHeight="1">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1"/>
    </row>
    <row r="181" spans="1:26" ht="13.5" customHeight="1">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1"/>
    </row>
    <row r="182" spans="1:26" ht="13.5" customHeight="1">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1"/>
    </row>
    <row r="183" spans="1:26" ht="13.5" customHeight="1">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1"/>
    </row>
    <row r="184" spans="1:26" ht="13.5" customHeight="1">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1"/>
    </row>
    <row r="185" spans="1:26" ht="13.5" customHeight="1">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1"/>
    </row>
    <row r="186" spans="1:26" ht="13.5" customHeight="1">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1"/>
    </row>
    <row r="187" spans="1:26" ht="13.5" customHeight="1">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1"/>
    </row>
    <row r="188" spans="1:26" ht="13.5" customHeight="1">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1"/>
    </row>
    <row r="189" spans="1:26" ht="13.5" customHeight="1">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1"/>
    </row>
    <row r="190" spans="1:26" ht="13.5" customHeight="1">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1"/>
    </row>
    <row r="191" spans="1:26" ht="13.5" customHeight="1">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1"/>
    </row>
    <row r="192" spans="1:26" ht="13.5" customHeight="1">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1"/>
    </row>
    <row r="193" spans="1:26" ht="13.5" customHeight="1">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1"/>
    </row>
    <row r="194" spans="1:26" ht="13.5" customHeight="1">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1"/>
    </row>
    <row r="195" spans="1:26" ht="13.5" customHeight="1">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1"/>
    </row>
    <row r="196" spans="1:26" ht="13.5" customHeight="1">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1"/>
    </row>
    <row r="197" spans="1:26" ht="13.5" customHeight="1">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1"/>
    </row>
    <row r="198" spans="1:26" ht="13.5" customHeight="1">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1"/>
    </row>
    <row r="199" spans="1:26" ht="13.5" customHeight="1">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1"/>
    </row>
    <row r="200" spans="1:26" ht="13.5" customHeight="1">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1"/>
    </row>
    <row r="201" spans="1:26" ht="13.5" customHeight="1">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1"/>
    </row>
    <row r="202" spans="1:26" ht="13.5" customHeight="1">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1"/>
    </row>
    <row r="203" spans="1:26" ht="13.5" customHeight="1">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1"/>
    </row>
    <row r="204" spans="1:26" ht="13.5" customHeight="1">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1"/>
    </row>
    <row r="205" spans="1:26" ht="13.5" customHeight="1">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1"/>
    </row>
    <row r="206" spans="1:26" ht="13.5" customHeight="1">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1"/>
    </row>
    <row r="207" spans="1:26" ht="13.5" customHeight="1">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1"/>
    </row>
    <row r="208" spans="1:26" ht="13.5" customHeight="1">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1"/>
    </row>
    <row r="209" spans="1:26" ht="13.5" customHeight="1">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1"/>
    </row>
    <row r="210" spans="1:26" ht="13.5" customHeight="1">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1"/>
    </row>
    <row r="211" spans="1:26" ht="13.5" customHeight="1">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1"/>
    </row>
    <row r="212" spans="1:26" ht="13.5" customHeight="1">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1"/>
    </row>
    <row r="213" spans="1:26" ht="13.5" customHeight="1">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1"/>
    </row>
    <row r="214" spans="1:26" ht="13.5" customHeight="1">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1"/>
    </row>
    <row r="215" spans="1:26" ht="13.5" customHeight="1">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1"/>
    </row>
    <row r="216" spans="1:26" ht="13.5" customHeight="1">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1"/>
    </row>
    <row r="217" spans="1:26" ht="13.5" customHeight="1">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1"/>
    </row>
    <row r="218" spans="1:26" ht="13.5" customHeight="1">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1"/>
    </row>
    <row r="219" spans="1:26" ht="13.5" customHeight="1">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1"/>
    </row>
    <row r="220" spans="1:26" ht="13.5" customHeight="1">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C3"/>
    <mergeCell ref="E2:F3"/>
    <mergeCell ref="H2:I3"/>
    <mergeCell ref="K2:L3"/>
    <mergeCell ref="N2:O3"/>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2.6640625" defaultRowHeight="15" customHeight="1"/>
  <cols>
    <col min="1" max="1" width="3.6640625" customWidth="1"/>
    <col min="2" max="2" width="22.109375" customWidth="1"/>
    <col min="3" max="3" width="13.109375" customWidth="1"/>
    <col min="4" max="4" width="7.109375" customWidth="1"/>
    <col min="5" max="5" width="22.109375" customWidth="1"/>
    <col min="6" max="6" width="13.109375" customWidth="1"/>
    <col min="7" max="7" width="7.109375" customWidth="1"/>
    <col min="8" max="8" width="22.109375" customWidth="1"/>
    <col min="9" max="9" width="13.109375" customWidth="1"/>
    <col min="10" max="10" width="7.109375" customWidth="1"/>
    <col min="11" max="11" width="22.109375" customWidth="1"/>
    <col min="12" max="12" width="13.109375" customWidth="1"/>
    <col min="13" max="13" width="6.33203125" customWidth="1"/>
    <col min="14" max="14" width="22.109375" customWidth="1"/>
    <col min="15" max="15" width="13.109375" customWidth="1"/>
    <col min="16" max="16" width="7.33203125" customWidth="1"/>
    <col min="17" max="17" width="6.33203125" customWidth="1"/>
    <col min="18" max="18" width="7.77734375" customWidth="1"/>
    <col min="19" max="19" width="8.6640625" customWidth="1"/>
    <col min="20" max="20" width="9" customWidth="1"/>
    <col min="21" max="21" width="12.77734375" customWidth="1"/>
    <col min="22" max="26" width="14.33203125" customWidth="1"/>
  </cols>
  <sheetData>
    <row r="1" spans="1:26" ht="15.75" customHeight="1">
      <c r="A1" s="1"/>
      <c r="B1" s="1"/>
      <c r="C1" s="1"/>
      <c r="D1" s="1"/>
      <c r="E1" s="1"/>
      <c r="F1" s="1"/>
      <c r="G1" s="1"/>
      <c r="H1" s="1"/>
      <c r="I1" s="1"/>
      <c r="J1" s="1"/>
      <c r="K1" s="1"/>
      <c r="L1" s="1"/>
      <c r="M1" s="1"/>
      <c r="N1" s="1"/>
      <c r="O1" s="1"/>
      <c r="P1" s="1"/>
      <c r="Q1" s="1"/>
      <c r="R1" s="1"/>
      <c r="S1" s="1"/>
      <c r="T1" s="1"/>
      <c r="U1" s="1"/>
      <c r="V1" s="1"/>
      <c r="W1" s="1"/>
      <c r="X1" s="1"/>
      <c r="Y1" s="1"/>
      <c r="Z1" s="1"/>
    </row>
    <row r="2" spans="1:26" ht="13.5" customHeight="1">
      <c r="A2" s="1"/>
      <c r="B2" s="250" t="s">
        <v>22</v>
      </c>
      <c r="C2" s="251"/>
      <c r="D2" s="3"/>
      <c r="E2" s="250" t="s">
        <v>23</v>
      </c>
      <c r="F2" s="251"/>
      <c r="G2" s="13"/>
      <c r="H2" s="250" t="s">
        <v>24</v>
      </c>
      <c r="I2" s="251"/>
      <c r="J2" s="13"/>
      <c r="K2" s="250" t="s">
        <v>25</v>
      </c>
      <c r="L2" s="251"/>
      <c r="M2" s="13"/>
      <c r="N2" s="250" t="s">
        <v>26</v>
      </c>
      <c r="O2" s="251"/>
      <c r="P2" s="3"/>
      <c r="Q2" s="13"/>
      <c r="R2" s="13"/>
      <c r="S2" s="13"/>
      <c r="T2" s="14"/>
      <c r="U2" s="9"/>
      <c r="V2" s="4"/>
      <c r="W2" s="4"/>
      <c r="X2" s="4"/>
      <c r="Y2" s="4"/>
      <c r="Z2" s="1"/>
    </row>
    <row r="3" spans="1:26" ht="13.5" customHeight="1">
      <c r="A3" s="1"/>
      <c r="B3" s="252"/>
      <c r="C3" s="253"/>
      <c r="D3" s="4"/>
      <c r="E3" s="252"/>
      <c r="F3" s="253"/>
      <c r="G3" s="4"/>
      <c r="H3" s="252"/>
      <c r="I3" s="253"/>
      <c r="J3" s="4"/>
      <c r="K3" s="252"/>
      <c r="L3" s="253"/>
      <c r="M3" s="4"/>
      <c r="N3" s="252"/>
      <c r="O3" s="253"/>
      <c r="P3" s="4"/>
      <c r="Q3" s="4"/>
      <c r="R3" s="4"/>
      <c r="S3" s="4"/>
      <c r="T3" s="4"/>
      <c r="U3" s="4"/>
      <c r="V3" s="4"/>
      <c r="W3" s="4"/>
      <c r="X3" s="4"/>
      <c r="Y3" s="4"/>
      <c r="Z3" s="1"/>
    </row>
    <row r="4" spans="1:26" ht="13.5" customHeight="1">
      <c r="A4" s="1"/>
      <c r="B4" s="6" t="s">
        <v>27</v>
      </c>
      <c r="C4" s="15">
        <v>1000</v>
      </c>
      <c r="D4" s="4"/>
      <c r="E4" s="6" t="s">
        <v>28</v>
      </c>
      <c r="F4" s="15">
        <v>3000</v>
      </c>
      <c r="G4" s="4"/>
      <c r="H4" s="7" t="s">
        <v>29</v>
      </c>
      <c r="I4" s="5">
        <v>100</v>
      </c>
      <c r="J4" s="4"/>
      <c r="K4" s="7" t="s">
        <v>29</v>
      </c>
      <c r="L4" s="5">
        <v>40</v>
      </c>
      <c r="M4" s="4"/>
      <c r="N4" s="7" t="s">
        <v>29</v>
      </c>
      <c r="O4" s="5">
        <v>12</v>
      </c>
      <c r="P4" s="4"/>
      <c r="Q4" s="4"/>
      <c r="R4" s="4"/>
      <c r="S4" s="4"/>
      <c r="T4" s="4"/>
      <c r="U4" s="4"/>
      <c r="V4" s="4"/>
      <c r="W4" s="4"/>
      <c r="X4" s="4"/>
      <c r="Y4" s="4"/>
      <c r="Z4" s="1"/>
    </row>
    <row r="5" spans="1:26" ht="13.5" customHeight="1">
      <c r="A5" s="1"/>
      <c r="B5" s="7" t="s">
        <v>14</v>
      </c>
      <c r="C5" s="16">
        <v>175</v>
      </c>
      <c r="D5" s="4"/>
      <c r="E5" s="7" t="s">
        <v>30</v>
      </c>
      <c r="F5" s="16">
        <v>50</v>
      </c>
      <c r="G5" s="4"/>
      <c r="H5" s="7" t="s">
        <v>31</v>
      </c>
      <c r="I5" s="16">
        <v>0</v>
      </c>
      <c r="J5" s="4"/>
      <c r="K5" s="7" t="s">
        <v>31</v>
      </c>
      <c r="L5" s="16">
        <v>125</v>
      </c>
      <c r="M5" s="4"/>
      <c r="N5" s="7" t="s">
        <v>31</v>
      </c>
      <c r="O5" s="16">
        <v>200</v>
      </c>
      <c r="P5" s="4"/>
      <c r="Q5" s="4"/>
      <c r="R5" s="4"/>
      <c r="S5" s="4"/>
      <c r="T5" s="4"/>
      <c r="U5" s="4"/>
      <c r="V5" s="4"/>
      <c r="W5" s="4"/>
      <c r="X5" s="4"/>
      <c r="Y5" s="4"/>
      <c r="Z5" s="1"/>
    </row>
    <row r="6" spans="1:26" ht="13.5" customHeight="1">
      <c r="A6" s="1"/>
      <c r="B6" s="7" t="s">
        <v>15</v>
      </c>
      <c r="C6" s="5">
        <f>C7+C8+C9</f>
        <v>23</v>
      </c>
      <c r="D6" s="4"/>
      <c r="E6" s="7" t="s">
        <v>32</v>
      </c>
      <c r="F6" s="16">
        <v>12</v>
      </c>
      <c r="G6" s="4"/>
      <c r="H6" s="6" t="s">
        <v>5</v>
      </c>
      <c r="I6" s="15">
        <f>SUM(I5)*I4</f>
        <v>0</v>
      </c>
      <c r="J6" s="4"/>
      <c r="K6" s="6" t="s">
        <v>5</v>
      </c>
      <c r="L6" s="15">
        <f>SUM(L5)*L4</f>
        <v>5000</v>
      </c>
      <c r="M6" s="4"/>
      <c r="N6" s="6" t="s">
        <v>5</v>
      </c>
      <c r="O6" s="15">
        <f>SUM(O5)*O4</f>
        <v>2400</v>
      </c>
      <c r="P6" s="4"/>
      <c r="Q6" s="4"/>
      <c r="R6" s="4"/>
      <c r="S6" s="4"/>
      <c r="T6" s="4"/>
      <c r="U6" s="4"/>
      <c r="V6" s="4"/>
      <c r="W6" s="4"/>
      <c r="X6" s="4"/>
      <c r="Y6" s="4"/>
      <c r="Z6" s="1"/>
    </row>
    <row r="7" spans="1:26" ht="13.5" customHeight="1">
      <c r="A7" s="1"/>
      <c r="B7" s="17" t="s">
        <v>33</v>
      </c>
      <c r="C7" s="5">
        <v>16</v>
      </c>
      <c r="D7" s="4"/>
      <c r="E7" s="6" t="s">
        <v>34</v>
      </c>
      <c r="F7" s="15">
        <f>F5*F6</f>
        <v>600</v>
      </c>
      <c r="G7" s="4"/>
      <c r="H7" s="7" t="s">
        <v>30</v>
      </c>
      <c r="I7" s="16">
        <v>150</v>
      </c>
      <c r="J7" s="4"/>
      <c r="K7" s="7" t="s">
        <v>30</v>
      </c>
      <c r="L7" s="16">
        <v>0</v>
      </c>
      <c r="M7" s="4"/>
      <c r="N7" s="7" t="s">
        <v>30</v>
      </c>
      <c r="O7" s="16">
        <v>0</v>
      </c>
      <c r="P7" s="4"/>
      <c r="Q7" s="4"/>
      <c r="R7" s="4"/>
      <c r="S7" s="4"/>
      <c r="T7" s="4"/>
      <c r="U7" s="4"/>
      <c r="V7" s="4"/>
      <c r="W7" s="4"/>
      <c r="X7" s="4"/>
      <c r="Y7" s="4"/>
      <c r="Z7" s="1"/>
    </row>
    <row r="8" spans="1:26" ht="13.5" customHeight="1">
      <c r="A8" s="1"/>
      <c r="B8" s="17" t="s">
        <v>35</v>
      </c>
      <c r="C8" s="5">
        <v>2</v>
      </c>
      <c r="D8" s="4"/>
      <c r="E8" s="6" t="s">
        <v>27</v>
      </c>
      <c r="F8" s="15">
        <v>1000</v>
      </c>
      <c r="G8" s="4"/>
      <c r="H8" s="7" t="s">
        <v>32</v>
      </c>
      <c r="I8" s="5">
        <v>4</v>
      </c>
      <c r="J8" s="4"/>
      <c r="K8" s="7" t="s">
        <v>32</v>
      </c>
      <c r="L8" s="5">
        <v>0</v>
      </c>
      <c r="M8" s="4"/>
      <c r="N8" s="7" t="s">
        <v>32</v>
      </c>
      <c r="O8" s="5">
        <v>12</v>
      </c>
      <c r="P8" s="4"/>
      <c r="Q8" s="4"/>
      <c r="R8" s="4"/>
      <c r="S8" s="4"/>
      <c r="T8" s="4"/>
      <c r="U8" s="4"/>
      <c r="V8" s="4"/>
      <c r="W8" s="4"/>
      <c r="X8" s="4"/>
      <c r="Y8" s="4"/>
      <c r="Z8" s="1"/>
    </row>
    <row r="9" spans="1:26" ht="13.5" customHeight="1">
      <c r="A9" s="1"/>
      <c r="B9" s="17" t="s">
        <v>36</v>
      </c>
      <c r="C9" s="5">
        <v>5</v>
      </c>
      <c r="D9" s="4"/>
      <c r="E9" s="6" t="s">
        <v>37</v>
      </c>
      <c r="F9" s="15">
        <v>600</v>
      </c>
      <c r="G9" s="4"/>
      <c r="H9" s="6" t="s">
        <v>34</v>
      </c>
      <c r="I9" s="15">
        <f>I7*I8</f>
        <v>600</v>
      </c>
      <c r="J9" s="4"/>
      <c r="K9" s="6" t="s">
        <v>34</v>
      </c>
      <c r="L9" s="15">
        <f>L7*L4</f>
        <v>0</v>
      </c>
      <c r="M9" s="4"/>
      <c r="N9" s="6" t="s">
        <v>34</v>
      </c>
      <c r="O9" s="15">
        <f>O7*O4</f>
        <v>0</v>
      </c>
      <c r="P9" s="4"/>
      <c r="Q9" s="4"/>
      <c r="R9" s="4"/>
      <c r="S9" s="4"/>
      <c r="T9" s="4"/>
      <c r="U9" s="4"/>
      <c r="V9" s="4"/>
      <c r="W9" s="4"/>
      <c r="X9" s="4"/>
      <c r="Y9" s="4"/>
      <c r="Z9" s="1"/>
    </row>
    <row r="10" spans="1:26" ht="13.5" customHeight="1">
      <c r="A10" s="1"/>
      <c r="B10" s="6" t="s">
        <v>18</v>
      </c>
      <c r="C10" s="15">
        <f>C5*C6</f>
        <v>4025</v>
      </c>
      <c r="D10" s="4"/>
      <c r="E10" s="7" t="s">
        <v>14</v>
      </c>
      <c r="F10" s="16">
        <v>175</v>
      </c>
      <c r="G10" s="4"/>
      <c r="H10" s="6" t="s">
        <v>27</v>
      </c>
      <c r="I10" s="15">
        <v>1000</v>
      </c>
      <c r="J10" s="4"/>
      <c r="K10" s="6" t="s">
        <v>27</v>
      </c>
      <c r="L10" s="15">
        <v>1000</v>
      </c>
      <c r="M10" s="4"/>
      <c r="N10" s="6" t="s">
        <v>27</v>
      </c>
      <c r="O10" s="15">
        <v>1000</v>
      </c>
      <c r="P10" s="4"/>
      <c r="Q10" s="4"/>
      <c r="R10" s="4"/>
      <c r="S10" s="4"/>
      <c r="T10" s="4"/>
      <c r="U10" s="4"/>
      <c r="V10" s="4"/>
      <c r="W10" s="4"/>
      <c r="X10" s="4"/>
      <c r="Y10" s="4"/>
      <c r="Z10" s="1"/>
    </row>
    <row r="11" spans="1:26" ht="13.5" customHeight="1">
      <c r="A11" s="1"/>
      <c r="B11" s="18" t="s">
        <v>38</v>
      </c>
      <c r="C11" s="19">
        <f>C4+C10</f>
        <v>5025</v>
      </c>
      <c r="D11" s="4"/>
      <c r="E11" s="7" t="s">
        <v>15</v>
      </c>
      <c r="F11" s="5">
        <f>SUM(F12:F14)</f>
        <v>70</v>
      </c>
      <c r="G11" s="4"/>
      <c r="H11" s="6" t="s">
        <v>37</v>
      </c>
      <c r="I11" s="15">
        <v>600</v>
      </c>
      <c r="J11" s="4"/>
      <c r="K11" s="6" t="s">
        <v>37</v>
      </c>
      <c r="L11" s="15">
        <v>1200</v>
      </c>
      <c r="M11" s="4"/>
      <c r="N11" s="6" t="s">
        <v>37</v>
      </c>
      <c r="O11" s="15">
        <v>600</v>
      </c>
      <c r="P11" s="4"/>
      <c r="Q11" s="4"/>
      <c r="R11" s="4"/>
      <c r="S11" s="4"/>
      <c r="T11" s="4"/>
      <c r="U11" s="4"/>
      <c r="V11" s="4"/>
      <c r="W11" s="4"/>
      <c r="X11" s="4"/>
      <c r="Y11" s="4"/>
      <c r="Z11" s="1"/>
    </row>
    <row r="12" spans="1:26" ht="13.5" customHeight="1">
      <c r="A12" s="1"/>
      <c r="B12" s="20" t="s">
        <v>21</v>
      </c>
      <c r="C12" s="21">
        <f>C11*2</f>
        <v>10050</v>
      </c>
      <c r="D12" s="4"/>
      <c r="E12" s="17" t="s">
        <v>39</v>
      </c>
      <c r="F12" s="5">
        <v>40</v>
      </c>
      <c r="G12" s="4"/>
      <c r="H12" s="7" t="s">
        <v>14</v>
      </c>
      <c r="I12" s="16">
        <v>175</v>
      </c>
      <c r="J12" s="4"/>
      <c r="K12" s="7" t="s">
        <v>14</v>
      </c>
      <c r="L12" s="16">
        <v>175</v>
      </c>
      <c r="M12" s="4"/>
      <c r="N12" s="7" t="s">
        <v>14</v>
      </c>
      <c r="O12" s="16">
        <v>175</v>
      </c>
      <c r="P12" s="4"/>
      <c r="Q12" s="4"/>
      <c r="R12" s="4"/>
      <c r="S12" s="4"/>
      <c r="T12" s="4"/>
      <c r="U12" s="4"/>
      <c r="V12" s="4"/>
      <c r="W12" s="4"/>
      <c r="X12" s="4"/>
      <c r="Y12" s="4"/>
      <c r="Z12" s="1"/>
    </row>
    <row r="13" spans="1:26" ht="13.5" customHeight="1">
      <c r="A13" s="1"/>
      <c r="B13" s="22"/>
      <c r="C13" s="4"/>
      <c r="D13" s="4"/>
      <c r="E13" s="17" t="s">
        <v>40</v>
      </c>
      <c r="F13" s="5">
        <v>15</v>
      </c>
      <c r="G13" s="4"/>
      <c r="H13" s="7" t="s">
        <v>15</v>
      </c>
      <c r="I13" s="5">
        <f>SUM(I14:I16)</f>
        <v>40</v>
      </c>
      <c r="J13" s="4"/>
      <c r="K13" s="7" t="s">
        <v>15</v>
      </c>
      <c r="L13" s="5">
        <f>SUM(L14:L16)</f>
        <v>40</v>
      </c>
      <c r="M13" s="4"/>
      <c r="N13" s="7" t="s">
        <v>15</v>
      </c>
      <c r="O13" s="5">
        <f>SUM(O14:O16)</f>
        <v>34</v>
      </c>
      <c r="P13" s="4"/>
      <c r="Q13" s="4"/>
      <c r="R13" s="4"/>
      <c r="S13" s="4"/>
      <c r="T13" s="4"/>
      <c r="U13" s="4"/>
      <c r="V13" s="4"/>
      <c r="W13" s="4"/>
      <c r="X13" s="4"/>
      <c r="Y13" s="4"/>
      <c r="Z13" s="1"/>
    </row>
    <row r="14" spans="1:26" ht="13.5" customHeight="1">
      <c r="A14" s="1"/>
      <c r="B14" s="4"/>
      <c r="C14" s="4"/>
      <c r="D14" s="4"/>
      <c r="E14" s="17" t="s">
        <v>36</v>
      </c>
      <c r="F14" s="5">
        <v>15</v>
      </c>
      <c r="G14" s="4"/>
      <c r="H14" s="17" t="s">
        <v>39</v>
      </c>
      <c r="I14" s="5">
        <v>20</v>
      </c>
      <c r="J14" s="4"/>
      <c r="K14" s="17" t="s">
        <v>39</v>
      </c>
      <c r="L14" s="5">
        <v>20</v>
      </c>
      <c r="M14" s="4"/>
      <c r="N14" s="17" t="s">
        <v>39</v>
      </c>
      <c r="O14" s="5">
        <v>16</v>
      </c>
      <c r="P14" s="4"/>
      <c r="Q14" s="4"/>
      <c r="R14" s="4"/>
      <c r="S14" s="4"/>
      <c r="T14" s="4"/>
      <c r="U14" s="4"/>
      <c r="V14" s="4"/>
      <c r="W14" s="4"/>
      <c r="X14" s="4"/>
      <c r="Y14" s="4"/>
      <c r="Z14" s="1"/>
    </row>
    <row r="15" spans="1:26" ht="13.5" customHeight="1">
      <c r="A15" s="1"/>
      <c r="B15" s="4"/>
      <c r="C15" s="4"/>
      <c r="D15" s="4"/>
      <c r="E15" s="6" t="s">
        <v>18</v>
      </c>
      <c r="F15" s="15">
        <f>F10*F11</f>
        <v>12250</v>
      </c>
      <c r="G15" s="4"/>
      <c r="H15" s="17" t="s">
        <v>40</v>
      </c>
      <c r="I15" s="5">
        <v>10</v>
      </c>
      <c r="J15" s="4"/>
      <c r="K15" s="17" t="s">
        <v>40</v>
      </c>
      <c r="L15" s="5">
        <v>10</v>
      </c>
      <c r="M15" s="4"/>
      <c r="N15" s="17" t="s">
        <v>40</v>
      </c>
      <c r="O15" s="5">
        <v>10</v>
      </c>
      <c r="P15" s="4"/>
      <c r="Q15" s="4"/>
      <c r="R15" s="4"/>
      <c r="S15" s="4"/>
      <c r="T15" s="4"/>
      <c r="U15" s="4"/>
      <c r="V15" s="4"/>
      <c r="W15" s="4"/>
      <c r="X15" s="4"/>
      <c r="Y15" s="4"/>
      <c r="Z15" s="1"/>
    </row>
    <row r="16" spans="1:26" ht="13.5" customHeight="1">
      <c r="A16" s="1"/>
      <c r="B16" s="4"/>
      <c r="C16" s="4"/>
      <c r="D16" s="4"/>
      <c r="E16" s="18" t="s">
        <v>38</v>
      </c>
      <c r="F16" s="19">
        <f>F4+F7+F8+F9+F15</f>
        <v>17450</v>
      </c>
      <c r="G16" s="4"/>
      <c r="H16" s="17" t="s">
        <v>36</v>
      </c>
      <c r="I16" s="5">
        <v>10</v>
      </c>
      <c r="J16" s="4"/>
      <c r="K16" s="17" t="s">
        <v>36</v>
      </c>
      <c r="L16" s="5">
        <v>10</v>
      </c>
      <c r="M16" s="4"/>
      <c r="N16" s="17" t="s">
        <v>36</v>
      </c>
      <c r="O16" s="5">
        <v>8</v>
      </c>
      <c r="P16" s="4"/>
      <c r="Q16" s="4"/>
      <c r="R16" s="4"/>
      <c r="S16" s="4"/>
      <c r="T16" s="4"/>
      <c r="U16" s="4"/>
      <c r="V16" s="4"/>
      <c r="W16" s="4"/>
      <c r="X16" s="4"/>
      <c r="Y16" s="4"/>
      <c r="Z16" s="1"/>
    </row>
    <row r="17" spans="1:26" ht="13.5" customHeight="1">
      <c r="A17" s="1"/>
      <c r="B17" s="1"/>
      <c r="C17" s="1"/>
      <c r="D17" s="4"/>
      <c r="E17" s="20" t="s">
        <v>21</v>
      </c>
      <c r="F17" s="21">
        <f>F16*2</f>
        <v>34900</v>
      </c>
      <c r="G17" s="4"/>
      <c r="H17" s="6" t="s">
        <v>18</v>
      </c>
      <c r="I17" s="15">
        <f>I12*I13</f>
        <v>7000</v>
      </c>
      <c r="J17" s="4"/>
      <c r="K17" s="6" t="s">
        <v>18</v>
      </c>
      <c r="L17" s="15">
        <f>L12*L13</f>
        <v>7000</v>
      </c>
      <c r="M17" s="4"/>
      <c r="N17" s="6" t="s">
        <v>18</v>
      </c>
      <c r="O17" s="15">
        <f>O12*O13</f>
        <v>5950</v>
      </c>
      <c r="P17" s="4"/>
      <c r="Q17" s="4"/>
      <c r="R17" s="4"/>
      <c r="S17" s="4"/>
      <c r="T17" s="4"/>
      <c r="U17" s="4"/>
      <c r="V17" s="4"/>
      <c r="W17" s="4"/>
      <c r="X17" s="4"/>
      <c r="Y17" s="4"/>
      <c r="Z17" s="1"/>
    </row>
    <row r="18" spans="1:26" ht="13.5" customHeight="1">
      <c r="A18" s="1"/>
      <c r="B18" s="1"/>
      <c r="C18" s="1"/>
      <c r="D18" s="4"/>
      <c r="E18" s="4"/>
      <c r="F18" s="4"/>
      <c r="G18" s="4"/>
      <c r="H18" s="18" t="s">
        <v>38</v>
      </c>
      <c r="I18" s="19">
        <f>I6+I9+I10+I11+I17</f>
        <v>9200</v>
      </c>
      <c r="J18" s="4"/>
      <c r="K18" s="18" t="s">
        <v>38</v>
      </c>
      <c r="L18" s="19">
        <f>L6+L9+L10+L11+L17</f>
        <v>14200</v>
      </c>
      <c r="M18" s="4"/>
      <c r="N18" s="18" t="s">
        <v>38</v>
      </c>
      <c r="O18" s="19">
        <f>O6+O9+O10+O11+O17</f>
        <v>9950</v>
      </c>
      <c r="P18" s="4"/>
      <c r="Q18" s="4"/>
      <c r="R18" s="4"/>
      <c r="S18" s="4"/>
      <c r="T18" s="4"/>
      <c r="U18" s="4"/>
      <c r="V18" s="4"/>
      <c r="W18" s="4"/>
      <c r="X18" s="4"/>
      <c r="Y18" s="4"/>
      <c r="Z18" s="1"/>
    </row>
    <row r="19" spans="1:26" ht="13.5" customHeight="1">
      <c r="A19" s="1"/>
      <c r="B19" s="4"/>
      <c r="C19" s="4"/>
      <c r="D19" s="4"/>
      <c r="E19" s="4"/>
      <c r="F19" s="4"/>
      <c r="G19" s="4"/>
      <c r="H19" s="20" t="s">
        <v>21</v>
      </c>
      <c r="I19" s="21">
        <f>I18*2</f>
        <v>18400</v>
      </c>
      <c r="J19" s="4"/>
      <c r="K19" s="20" t="s">
        <v>21</v>
      </c>
      <c r="L19" s="21">
        <f>L18*2</f>
        <v>28400</v>
      </c>
      <c r="M19" s="4"/>
      <c r="N19" s="20" t="s">
        <v>21</v>
      </c>
      <c r="O19" s="21">
        <f>O18*2</f>
        <v>19900</v>
      </c>
      <c r="P19" s="4"/>
      <c r="Q19" s="4"/>
      <c r="R19" s="4"/>
      <c r="S19" s="4"/>
      <c r="T19" s="4"/>
      <c r="U19" s="4"/>
      <c r="V19" s="4"/>
      <c r="W19" s="4"/>
      <c r="X19" s="4"/>
      <c r="Y19" s="4"/>
      <c r="Z19" s="1"/>
    </row>
    <row r="20" spans="1:26" ht="13.5" customHeight="1">
      <c r="A20" s="1"/>
      <c r="B20" s="4"/>
      <c r="C20" s="4"/>
      <c r="D20" s="4"/>
      <c r="E20" s="4"/>
      <c r="F20" s="4"/>
      <c r="G20" s="4"/>
      <c r="H20" s="4"/>
      <c r="I20" s="4"/>
      <c r="J20" s="4"/>
      <c r="K20" s="4"/>
      <c r="L20" s="4"/>
      <c r="M20" s="4"/>
      <c r="N20" s="4"/>
      <c r="O20" s="4"/>
      <c r="P20" s="4"/>
      <c r="Q20" s="4"/>
      <c r="R20" s="4"/>
      <c r="S20" s="4"/>
      <c r="T20" s="4"/>
      <c r="U20" s="4"/>
      <c r="V20" s="4"/>
      <c r="W20" s="4"/>
      <c r="X20" s="4"/>
      <c r="Y20" s="4"/>
      <c r="Z20" s="1"/>
    </row>
    <row r="21" spans="1:26" ht="13.5" customHeight="1">
      <c r="A21" s="1"/>
      <c r="B21" s="4"/>
      <c r="C21" s="4"/>
      <c r="D21" s="4"/>
      <c r="E21" s="4"/>
      <c r="F21" s="4"/>
      <c r="G21" s="4"/>
      <c r="H21" s="4"/>
      <c r="I21" s="4"/>
      <c r="J21" s="4"/>
      <c r="K21" s="4"/>
      <c r="L21" s="4"/>
      <c r="M21" s="4"/>
      <c r="N21" s="4"/>
      <c r="O21" s="4"/>
      <c r="P21" s="4"/>
      <c r="Q21" s="4"/>
      <c r="R21" s="4"/>
      <c r="S21" s="4"/>
      <c r="T21" s="4"/>
      <c r="U21" s="4"/>
      <c r="V21" s="4"/>
      <c r="W21" s="4"/>
      <c r="X21" s="4"/>
      <c r="Y21" s="4"/>
      <c r="Z21" s="1"/>
    </row>
    <row r="22" spans="1:26" ht="13.5" customHeight="1">
      <c r="A22" s="1"/>
      <c r="B22" s="4"/>
      <c r="C22" s="4"/>
      <c r="D22" s="4"/>
      <c r="E22" s="4"/>
      <c r="F22" s="4"/>
      <c r="G22" s="4"/>
      <c r="H22" s="4"/>
      <c r="I22" s="4"/>
      <c r="J22" s="4"/>
      <c r="K22" s="4"/>
      <c r="L22" s="4"/>
      <c r="M22" s="4"/>
      <c r="N22" s="4"/>
      <c r="O22" s="4"/>
      <c r="P22" s="4"/>
      <c r="Q22" s="4"/>
      <c r="R22" s="4"/>
      <c r="S22" s="4"/>
      <c r="T22" s="4"/>
      <c r="U22" s="4"/>
      <c r="V22" s="4"/>
      <c r="W22" s="4"/>
      <c r="X22" s="4"/>
      <c r="Y22" s="4"/>
      <c r="Z22" s="1"/>
    </row>
    <row r="23" spans="1:26" ht="13.5" customHeight="1">
      <c r="A23" s="1"/>
      <c r="B23" s="4"/>
      <c r="C23" s="4"/>
      <c r="D23" s="4"/>
      <c r="E23" s="4"/>
      <c r="F23" s="4"/>
      <c r="G23" s="4"/>
      <c r="H23" s="4"/>
      <c r="I23" s="4"/>
      <c r="J23" s="4"/>
      <c r="K23" s="4"/>
      <c r="L23" s="4"/>
      <c r="M23" s="4"/>
      <c r="N23" s="4"/>
      <c r="O23" s="4"/>
      <c r="P23" s="4"/>
      <c r="Q23" s="4"/>
      <c r="R23" s="4"/>
      <c r="S23" s="4"/>
      <c r="T23" s="4"/>
      <c r="U23" s="4"/>
      <c r="V23" s="4"/>
      <c r="W23" s="4"/>
      <c r="X23" s="4"/>
      <c r="Y23" s="4"/>
      <c r="Z23" s="1"/>
    </row>
    <row r="24" spans="1:26" ht="13.5" customHeight="1">
      <c r="A24" s="1"/>
      <c r="B24" s="4"/>
      <c r="C24" s="4"/>
      <c r="D24" s="4"/>
      <c r="E24" s="4"/>
      <c r="F24" s="4"/>
      <c r="G24" s="4"/>
      <c r="H24" s="4"/>
      <c r="I24" s="4"/>
      <c r="J24" s="4"/>
      <c r="K24" s="4"/>
      <c r="L24" s="4"/>
      <c r="M24" s="4"/>
      <c r="N24" s="4"/>
      <c r="O24" s="4"/>
      <c r="P24" s="4"/>
      <c r="Q24" s="4"/>
      <c r="R24" s="4"/>
      <c r="S24" s="4"/>
      <c r="T24" s="4"/>
      <c r="U24" s="4"/>
      <c r="V24" s="4"/>
      <c r="W24" s="4"/>
      <c r="X24" s="4"/>
      <c r="Y24" s="4"/>
      <c r="Z24" s="1"/>
    </row>
    <row r="25" spans="1:26" ht="13.5" customHeight="1">
      <c r="A25" s="1"/>
      <c r="B25" s="4"/>
      <c r="C25" s="4"/>
      <c r="D25" s="4"/>
      <c r="E25" s="4"/>
      <c r="F25" s="4"/>
      <c r="G25" s="4"/>
      <c r="H25" s="4"/>
      <c r="I25" s="4"/>
      <c r="J25" s="4"/>
      <c r="K25" s="4"/>
      <c r="L25" s="4"/>
      <c r="M25" s="4"/>
      <c r="N25" s="4"/>
      <c r="O25" s="4"/>
      <c r="P25" s="4"/>
      <c r="Q25" s="4"/>
      <c r="R25" s="4"/>
      <c r="S25" s="4"/>
      <c r="T25" s="4"/>
      <c r="U25" s="4"/>
      <c r="V25" s="4"/>
      <c r="W25" s="4"/>
      <c r="X25" s="4"/>
      <c r="Y25" s="4"/>
      <c r="Z25" s="1"/>
    </row>
    <row r="26" spans="1:26" ht="13.5" customHeight="1">
      <c r="A26" s="1"/>
      <c r="B26" s="4"/>
      <c r="C26" s="4"/>
      <c r="D26" s="4"/>
      <c r="E26" s="4"/>
      <c r="F26" s="4"/>
      <c r="G26" s="4"/>
      <c r="H26" s="4"/>
      <c r="I26" s="4"/>
      <c r="J26" s="4"/>
      <c r="K26" s="4"/>
      <c r="L26" s="4"/>
      <c r="M26" s="4"/>
      <c r="N26" s="4"/>
      <c r="O26" s="4"/>
      <c r="P26" s="4"/>
      <c r="Q26" s="4"/>
      <c r="R26" s="4"/>
      <c r="S26" s="4"/>
      <c r="T26" s="4"/>
      <c r="U26" s="4"/>
      <c r="V26" s="4"/>
      <c r="W26" s="4"/>
      <c r="X26" s="4"/>
      <c r="Y26" s="4"/>
      <c r="Z26" s="1"/>
    </row>
    <row r="27" spans="1:26" ht="13.5" customHeight="1">
      <c r="A27" s="1"/>
      <c r="B27" s="4"/>
      <c r="C27" s="4"/>
      <c r="D27" s="4"/>
      <c r="E27" s="4"/>
      <c r="F27" s="4"/>
      <c r="G27" s="4"/>
      <c r="H27" s="4"/>
      <c r="I27" s="4"/>
      <c r="J27" s="4"/>
      <c r="K27" s="4"/>
      <c r="L27" s="4"/>
      <c r="M27" s="4"/>
      <c r="N27" s="4"/>
      <c r="O27" s="4"/>
      <c r="P27" s="4"/>
      <c r="Q27" s="4"/>
      <c r="R27" s="4"/>
      <c r="S27" s="4"/>
      <c r="T27" s="4"/>
      <c r="U27" s="4"/>
      <c r="V27" s="4"/>
      <c r="W27" s="4"/>
      <c r="X27" s="4"/>
      <c r="Y27" s="4"/>
      <c r="Z27" s="1"/>
    </row>
    <row r="28" spans="1:26" ht="13.5" customHeight="1">
      <c r="A28" s="1"/>
      <c r="B28" s="4"/>
      <c r="C28" s="4"/>
      <c r="D28" s="4"/>
      <c r="E28" s="4"/>
      <c r="F28" s="4"/>
      <c r="G28" s="4"/>
      <c r="H28" s="4"/>
      <c r="I28" s="4"/>
      <c r="J28" s="4"/>
      <c r="K28" s="4"/>
      <c r="L28" s="4"/>
      <c r="M28" s="4"/>
      <c r="N28" s="4"/>
      <c r="O28" s="4"/>
      <c r="P28" s="4"/>
      <c r="Q28" s="4"/>
      <c r="R28" s="4"/>
      <c r="S28" s="4"/>
      <c r="T28" s="4"/>
      <c r="U28" s="4"/>
      <c r="V28" s="4"/>
      <c r="W28" s="4"/>
      <c r="X28" s="4"/>
      <c r="Y28" s="4"/>
      <c r="Z28" s="1"/>
    </row>
    <row r="29" spans="1:26" ht="13.5" customHeight="1">
      <c r="A29" s="1"/>
      <c r="B29" s="4"/>
      <c r="C29" s="4"/>
      <c r="D29" s="4"/>
      <c r="E29" s="4"/>
      <c r="F29" s="4"/>
      <c r="G29" s="4"/>
      <c r="H29" s="4"/>
      <c r="I29" s="4"/>
      <c r="J29" s="4"/>
      <c r="K29" s="4"/>
      <c r="L29" s="4"/>
      <c r="M29" s="4"/>
      <c r="N29" s="4"/>
      <c r="O29" s="4"/>
      <c r="P29" s="4"/>
      <c r="Q29" s="4"/>
      <c r="R29" s="4"/>
      <c r="S29" s="4"/>
      <c r="T29" s="4"/>
      <c r="U29" s="4"/>
      <c r="V29" s="4"/>
      <c r="W29" s="4"/>
      <c r="X29" s="4"/>
      <c r="Y29" s="4"/>
      <c r="Z29" s="1"/>
    </row>
    <row r="30" spans="1:26" ht="13.5" customHeight="1">
      <c r="A30" s="1"/>
      <c r="B30" s="4"/>
      <c r="C30" s="4"/>
      <c r="D30" s="4"/>
      <c r="E30" s="4"/>
      <c r="F30" s="4"/>
      <c r="G30" s="4"/>
      <c r="H30" s="4"/>
      <c r="I30" s="4"/>
      <c r="J30" s="4"/>
      <c r="K30" s="4"/>
      <c r="L30" s="4"/>
      <c r="M30" s="4"/>
      <c r="N30" s="4"/>
      <c r="O30" s="4"/>
      <c r="P30" s="4"/>
      <c r="Q30" s="4"/>
      <c r="R30" s="4"/>
      <c r="S30" s="4"/>
      <c r="T30" s="4"/>
      <c r="U30" s="4"/>
      <c r="V30" s="4"/>
      <c r="W30" s="4"/>
      <c r="X30" s="4"/>
      <c r="Y30" s="4"/>
      <c r="Z30" s="1"/>
    </row>
    <row r="31" spans="1:26" ht="13.5" customHeight="1">
      <c r="A31" s="1"/>
      <c r="B31" s="4"/>
      <c r="C31" s="4"/>
      <c r="D31" s="4"/>
      <c r="E31" s="4"/>
      <c r="F31" s="4"/>
      <c r="G31" s="4"/>
      <c r="H31" s="4"/>
      <c r="I31" s="4"/>
      <c r="J31" s="4"/>
      <c r="K31" s="4"/>
      <c r="L31" s="4"/>
      <c r="M31" s="4"/>
      <c r="N31" s="4"/>
      <c r="O31" s="4"/>
      <c r="P31" s="4"/>
      <c r="Q31" s="4"/>
      <c r="R31" s="4"/>
      <c r="S31" s="4"/>
      <c r="T31" s="4"/>
      <c r="U31" s="4"/>
      <c r="V31" s="4"/>
      <c r="W31" s="4"/>
      <c r="X31" s="4"/>
      <c r="Y31" s="4"/>
      <c r="Z31" s="1"/>
    </row>
    <row r="32" spans="1:26" ht="13.5" customHeight="1">
      <c r="A32" s="1"/>
      <c r="B32" s="4"/>
      <c r="C32" s="4"/>
      <c r="D32" s="4"/>
      <c r="E32" s="4"/>
      <c r="F32" s="4"/>
      <c r="G32" s="4"/>
      <c r="H32" s="4"/>
      <c r="I32" s="4"/>
      <c r="J32" s="4"/>
      <c r="K32" s="4"/>
      <c r="L32" s="4"/>
      <c r="M32" s="4"/>
      <c r="N32" s="4"/>
      <c r="O32" s="4"/>
      <c r="P32" s="4"/>
      <c r="Q32" s="4"/>
      <c r="R32" s="4"/>
      <c r="S32" s="4"/>
      <c r="T32" s="4"/>
      <c r="U32" s="4"/>
      <c r="V32" s="4"/>
      <c r="W32" s="4"/>
      <c r="X32" s="4"/>
      <c r="Y32" s="4"/>
      <c r="Z32" s="1"/>
    </row>
    <row r="33" spans="1:26" ht="13.5" customHeight="1">
      <c r="A33" s="1"/>
      <c r="B33" s="4"/>
      <c r="C33" s="4"/>
      <c r="D33" s="4"/>
      <c r="E33" s="4"/>
      <c r="F33" s="4"/>
      <c r="G33" s="4"/>
      <c r="H33" s="4"/>
      <c r="I33" s="4"/>
      <c r="J33" s="4"/>
      <c r="K33" s="4"/>
      <c r="L33" s="4"/>
      <c r="M33" s="4"/>
      <c r="N33" s="4"/>
      <c r="O33" s="4"/>
      <c r="P33" s="4"/>
      <c r="Q33" s="4"/>
      <c r="R33" s="4"/>
      <c r="S33" s="4"/>
      <c r="T33" s="4"/>
      <c r="U33" s="4"/>
      <c r="V33" s="4"/>
      <c r="W33" s="4"/>
      <c r="X33" s="4"/>
      <c r="Y33" s="4"/>
      <c r="Z33" s="1"/>
    </row>
    <row r="34" spans="1:26" ht="13.5" customHeight="1">
      <c r="A34" s="1"/>
      <c r="B34" s="4"/>
      <c r="C34" s="4"/>
      <c r="D34" s="4"/>
      <c r="E34" s="4"/>
      <c r="F34" s="4"/>
      <c r="G34" s="4"/>
      <c r="H34" s="4"/>
      <c r="I34" s="4"/>
      <c r="J34" s="4"/>
      <c r="K34" s="4"/>
      <c r="L34" s="4"/>
      <c r="M34" s="4"/>
      <c r="N34" s="4"/>
      <c r="O34" s="4"/>
      <c r="P34" s="4"/>
      <c r="Q34" s="4"/>
      <c r="R34" s="4"/>
      <c r="S34" s="4"/>
      <c r="T34" s="4"/>
      <c r="U34" s="4"/>
      <c r="V34" s="4"/>
      <c r="W34" s="4"/>
      <c r="X34" s="4"/>
      <c r="Y34" s="4"/>
      <c r="Z34" s="1"/>
    </row>
    <row r="35" spans="1:26" ht="13.5" customHeight="1">
      <c r="A35" s="1"/>
      <c r="B35" s="4"/>
      <c r="C35" s="4"/>
      <c r="D35" s="4"/>
      <c r="E35" s="4"/>
      <c r="F35" s="4"/>
      <c r="G35" s="4"/>
      <c r="H35" s="4"/>
      <c r="I35" s="4"/>
      <c r="J35" s="4"/>
      <c r="K35" s="4"/>
      <c r="L35" s="4"/>
      <c r="M35" s="4"/>
      <c r="N35" s="4"/>
      <c r="O35" s="4"/>
      <c r="P35" s="4"/>
      <c r="Q35" s="4"/>
      <c r="R35" s="4"/>
      <c r="S35" s="4"/>
      <c r="T35" s="4"/>
      <c r="U35" s="4"/>
      <c r="V35" s="4"/>
      <c r="W35" s="4"/>
      <c r="X35" s="4"/>
      <c r="Y35" s="4"/>
      <c r="Z35" s="1"/>
    </row>
    <row r="36" spans="1:26" ht="13.5" customHeight="1">
      <c r="A36" s="1"/>
      <c r="B36" s="4"/>
      <c r="C36" s="4"/>
      <c r="D36" s="4"/>
      <c r="E36" s="4"/>
      <c r="F36" s="4"/>
      <c r="G36" s="4"/>
      <c r="H36" s="4"/>
      <c r="I36" s="4"/>
      <c r="J36" s="4"/>
      <c r="K36" s="4"/>
      <c r="L36" s="4"/>
      <c r="M36" s="4"/>
      <c r="N36" s="4"/>
      <c r="O36" s="4"/>
      <c r="P36" s="4"/>
      <c r="Q36" s="4"/>
      <c r="R36" s="4"/>
      <c r="S36" s="4"/>
      <c r="T36" s="4"/>
      <c r="U36" s="4"/>
      <c r="V36" s="4"/>
      <c r="W36" s="4"/>
      <c r="X36" s="4"/>
      <c r="Y36" s="4"/>
      <c r="Z36" s="1"/>
    </row>
    <row r="37" spans="1:26" ht="13.5" customHeight="1">
      <c r="A37" s="1"/>
      <c r="B37" s="4"/>
      <c r="C37" s="4"/>
      <c r="D37" s="4"/>
      <c r="E37" s="4"/>
      <c r="F37" s="4"/>
      <c r="G37" s="4"/>
      <c r="H37" s="4"/>
      <c r="I37" s="4"/>
      <c r="J37" s="4"/>
      <c r="K37" s="4"/>
      <c r="L37" s="4"/>
      <c r="M37" s="4"/>
      <c r="N37" s="4"/>
      <c r="O37" s="4"/>
      <c r="P37" s="4"/>
      <c r="Q37" s="4"/>
      <c r="R37" s="4"/>
      <c r="S37" s="4"/>
      <c r="T37" s="4"/>
      <c r="U37" s="4"/>
      <c r="V37" s="4"/>
      <c r="W37" s="4"/>
      <c r="X37" s="4"/>
      <c r="Y37" s="4"/>
      <c r="Z37" s="1"/>
    </row>
    <row r="38" spans="1:26" ht="13.5" customHeight="1">
      <c r="A38" s="1"/>
      <c r="B38" s="4"/>
      <c r="C38" s="4"/>
      <c r="D38" s="4"/>
      <c r="E38" s="4"/>
      <c r="F38" s="4"/>
      <c r="G38" s="4"/>
      <c r="H38" s="4"/>
      <c r="I38" s="4"/>
      <c r="J38" s="4"/>
      <c r="K38" s="4"/>
      <c r="L38" s="4"/>
      <c r="M38" s="4"/>
      <c r="N38" s="4"/>
      <c r="O38" s="4"/>
      <c r="P38" s="4"/>
      <c r="Q38" s="4"/>
      <c r="R38" s="4"/>
      <c r="S38" s="4"/>
      <c r="T38" s="4"/>
      <c r="U38" s="4"/>
      <c r="V38" s="4"/>
      <c r="W38" s="4"/>
      <c r="X38" s="4"/>
      <c r="Y38" s="4"/>
      <c r="Z38" s="1"/>
    </row>
    <row r="39" spans="1:26" ht="13.5" customHeight="1">
      <c r="A39" s="1"/>
      <c r="B39" s="4"/>
      <c r="C39" s="4"/>
      <c r="D39" s="4"/>
      <c r="E39" s="4"/>
      <c r="F39" s="4"/>
      <c r="G39" s="4"/>
      <c r="H39" s="4"/>
      <c r="I39" s="4"/>
      <c r="J39" s="4"/>
      <c r="K39" s="4"/>
      <c r="L39" s="4"/>
      <c r="M39" s="4"/>
      <c r="N39" s="4"/>
      <c r="O39" s="4"/>
      <c r="P39" s="4"/>
      <c r="Q39" s="4"/>
      <c r="R39" s="4"/>
      <c r="S39" s="4"/>
      <c r="T39" s="4"/>
      <c r="U39" s="4"/>
      <c r="V39" s="4"/>
      <c r="W39" s="4"/>
      <c r="X39" s="4"/>
      <c r="Y39" s="4"/>
      <c r="Z39" s="1"/>
    </row>
    <row r="40" spans="1:26" ht="13.5" customHeight="1">
      <c r="A40" s="1"/>
      <c r="B40" s="4"/>
      <c r="C40" s="4"/>
      <c r="D40" s="4"/>
      <c r="E40" s="4"/>
      <c r="F40" s="4"/>
      <c r="G40" s="4"/>
      <c r="H40" s="4"/>
      <c r="I40" s="4"/>
      <c r="J40" s="4"/>
      <c r="K40" s="4"/>
      <c r="L40" s="4"/>
      <c r="M40" s="4"/>
      <c r="N40" s="4"/>
      <c r="O40" s="4"/>
      <c r="P40" s="4"/>
      <c r="Q40" s="4"/>
      <c r="R40" s="4"/>
      <c r="S40" s="4"/>
      <c r="T40" s="4"/>
      <c r="U40" s="4"/>
      <c r="V40" s="4"/>
      <c r="W40" s="4"/>
      <c r="X40" s="4"/>
      <c r="Y40" s="4"/>
      <c r="Z40" s="1"/>
    </row>
    <row r="41" spans="1:26" ht="13.5" customHeight="1">
      <c r="A41" s="1"/>
      <c r="B41" s="4"/>
      <c r="C41" s="4"/>
      <c r="D41" s="4"/>
      <c r="E41" s="4"/>
      <c r="F41" s="4"/>
      <c r="G41" s="4"/>
      <c r="H41" s="4"/>
      <c r="I41" s="4"/>
      <c r="J41" s="4"/>
      <c r="K41" s="4"/>
      <c r="L41" s="4"/>
      <c r="M41" s="4"/>
      <c r="N41" s="4"/>
      <c r="O41" s="4"/>
      <c r="P41" s="4"/>
      <c r="Q41" s="4"/>
      <c r="R41" s="4"/>
      <c r="S41" s="4"/>
      <c r="T41" s="4"/>
      <c r="U41" s="4"/>
      <c r="V41" s="4"/>
      <c r="W41" s="4"/>
      <c r="X41" s="4"/>
      <c r="Y41" s="4"/>
      <c r="Z41" s="1"/>
    </row>
    <row r="42" spans="1:26" ht="13.5" customHeight="1">
      <c r="A42" s="1"/>
      <c r="B42" s="4"/>
      <c r="C42" s="4"/>
      <c r="D42" s="4"/>
      <c r="E42" s="4"/>
      <c r="F42" s="4"/>
      <c r="G42" s="4"/>
      <c r="H42" s="4"/>
      <c r="I42" s="4"/>
      <c r="J42" s="4"/>
      <c r="K42" s="4"/>
      <c r="L42" s="4"/>
      <c r="M42" s="4"/>
      <c r="N42" s="4"/>
      <c r="O42" s="4"/>
      <c r="P42" s="4"/>
      <c r="Q42" s="4"/>
      <c r="R42" s="4"/>
      <c r="S42" s="4"/>
      <c r="T42" s="4"/>
      <c r="U42" s="4"/>
      <c r="V42" s="4"/>
      <c r="W42" s="4"/>
      <c r="X42" s="4"/>
      <c r="Y42" s="4"/>
      <c r="Z42" s="1"/>
    </row>
    <row r="43" spans="1:26" ht="13.5" customHeight="1">
      <c r="A43" s="1"/>
      <c r="B43" s="4"/>
      <c r="C43" s="4"/>
      <c r="D43" s="4"/>
      <c r="E43" s="4"/>
      <c r="F43" s="4"/>
      <c r="G43" s="4"/>
      <c r="H43" s="4"/>
      <c r="I43" s="4"/>
      <c r="J43" s="4"/>
      <c r="K43" s="4"/>
      <c r="L43" s="4"/>
      <c r="M43" s="4"/>
      <c r="N43" s="4"/>
      <c r="O43" s="4"/>
      <c r="P43" s="4"/>
      <c r="Q43" s="4"/>
      <c r="R43" s="4"/>
      <c r="S43" s="4"/>
      <c r="T43" s="4"/>
      <c r="U43" s="4"/>
      <c r="V43" s="4"/>
      <c r="W43" s="4"/>
      <c r="X43" s="4"/>
      <c r="Y43" s="4"/>
      <c r="Z43" s="1"/>
    </row>
    <row r="44" spans="1:26" ht="13.5" customHeight="1">
      <c r="A44" s="1"/>
      <c r="B44" s="4"/>
      <c r="C44" s="4"/>
      <c r="D44" s="4"/>
      <c r="E44" s="4"/>
      <c r="F44" s="4"/>
      <c r="G44" s="4"/>
      <c r="H44" s="4"/>
      <c r="I44" s="4"/>
      <c r="J44" s="4"/>
      <c r="K44" s="4"/>
      <c r="L44" s="4"/>
      <c r="M44" s="4"/>
      <c r="N44" s="4"/>
      <c r="O44" s="4"/>
      <c r="P44" s="4"/>
      <c r="Q44" s="4"/>
      <c r="R44" s="4"/>
      <c r="S44" s="4"/>
      <c r="T44" s="4"/>
      <c r="U44" s="4"/>
      <c r="V44" s="4"/>
      <c r="W44" s="4"/>
      <c r="X44" s="4"/>
      <c r="Y44" s="4"/>
      <c r="Z44" s="1"/>
    </row>
    <row r="45" spans="1:26" ht="13.5" customHeight="1">
      <c r="A45" s="1"/>
      <c r="B45" s="4"/>
      <c r="C45" s="4"/>
      <c r="D45" s="4"/>
      <c r="E45" s="4"/>
      <c r="F45" s="4"/>
      <c r="G45" s="4"/>
      <c r="H45" s="4"/>
      <c r="I45" s="4"/>
      <c r="J45" s="4"/>
      <c r="K45" s="4"/>
      <c r="L45" s="4"/>
      <c r="M45" s="4"/>
      <c r="N45" s="4"/>
      <c r="O45" s="4"/>
      <c r="P45" s="4"/>
      <c r="Q45" s="4"/>
      <c r="R45" s="4"/>
      <c r="S45" s="4"/>
      <c r="T45" s="4"/>
      <c r="U45" s="4"/>
      <c r="V45" s="4"/>
      <c r="W45" s="4"/>
      <c r="X45" s="4"/>
      <c r="Y45" s="4"/>
      <c r="Z45" s="1"/>
    </row>
    <row r="46" spans="1:26" ht="13.5" customHeight="1">
      <c r="A46" s="1"/>
      <c r="B46" s="4"/>
      <c r="C46" s="4"/>
      <c r="D46" s="4"/>
      <c r="E46" s="4"/>
      <c r="F46" s="4"/>
      <c r="G46" s="4"/>
      <c r="H46" s="4"/>
      <c r="I46" s="4"/>
      <c r="J46" s="4"/>
      <c r="K46" s="4"/>
      <c r="L46" s="4"/>
      <c r="M46" s="4"/>
      <c r="N46" s="4"/>
      <c r="O46" s="4"/>
      <c r="P46" s="4"/>
      <c r="Q46" s="4"/>
      <c r="R46" s="4"/>
      <c r="S46" s="4"/>
      <c r="T46" s="4"/>
      <c r="U46" s="4"/>
      <c r="V46" s="4"/>
      <c r="W46" s="4"/>
      <c r="X46" s="4"/>
      <c r="Y46" s="4"/>
      <c r="Z46" s="1"/>
    </row>
    <row r="47" spans="1:26" ht="13.5" customHeight="1">
      <c r="A47" s="1"/>
      <c r="B47" s="4"/>
      <c r="C47" s="4"/>
      <c r="D47" s="4"/>
      <c r="E47" s="4"/>
      <c r="F47" s="4"/>
      <c r="G47" s="4"/>
      <c r="H47" s="4"/>
      <c r="I47" s="4"/>
      <c r="J47" s="4"/>
      <c r="K47" s="4"/>
      <c r="L47" s="4"/>
      <c r="M47" s="4"/>
      <c r="N47" s="4"/>
      <c r="O47" s="4"/>
      <c r="P47" s="4"/>
      <c r="Q47" s="4"/>
      <c r="R47" s="4"/>
      <c r="S47" s="4"/>
      <c r="T47" s="4"/>
      <c r="U47" s="4"/>
      <c r="V47" s="4"/>
      <c r="W47" s="4"/>
      <c r="X47" s="4"/>
      <c r="Y47" s="4"/>
      <c r="Z47" s="1"/>
    </row>
    <row r="48" spans="1:26" ht="13.5" customHeight="1">
      <c r="A48" s="1"/>
      <c r="B48" s="4"/>
      <c r="C48" s="4"/>
      <c r="D48" s="4"/>
      <c r="E48" s="4"/>
      <c r="F48" s="4"/>
      <c r="G48" s="4"/>
      <c r="H48" s="4"/>
      <c r="I48" s="4"/>
      <c r="J48" s="4"/>
      <c r="K48" s="4"/>
      <c r="L48" s="4"/>
      <c r="M48" s="4"/>
      <c r="N48" s="4"/>
      <c r="O48" s="4"/>
      <c r="P48" s="4"/>
      <c r="Q48" s="4"/>
      <c r="R48" s="4"/>
      <c r="S48" s="4"/>
      <c r="T48" s="4"/>
      <c r="U48" s="4"/>
      <c r="V48" s="4"/>
      <c r="W48" s="4"/>
      <c r="X48" s="4"/>
      <c r="Y48" s="4"/>
      <c r="Z48" s="1"/>
    </row>
    <row r="49" spans="1:26" ht="13.5" customHeight="1">
      <c r="A49" s="1"/>
      <c r="B49" s="4"/>
      <c r="C49" s="4"/>
      <c r="D49" s="4"/>
      <c r="E49" s="4"/>
      <c r="F49" s="4"/>
      <c r="G49" s="4"/>
      <c r="H49" s="4"/>
      <c r="I49" s="4"/>
      <c r="J49" s="4"/>
      <c r="K49" s="4"/>
      <c r="L49" s="4"/>
      <c r="M49" s="4"/>
      <c r="N49" s="4"/>
      <c r="O49" s="4"/>
      <c r="P49" s="4"/>
      <c r="Q49" s="4"/>
      <c r="R49" s="4"/>
      <c r="S49" s="4"/>
      <c r="T49" s="4"/>
      <c r="U49" s="4"/>
      <c r="V49" s="4"/>
      <c r="W49" s="4"/>
      <c r="X49" s="4"/>
      <c r="Y49" s="4"/>
      <c r="Z49" s="1"/>
    </row>
    <row r="50" spans="1:26" ht="13.5" customHeight="1">
      <c r="A50" s="1"/>
      <c r="B50" s="4"/>
      <c r="C50" s="4"/>
      <c r="D50" s="4"/>
      <c r="E50" s="4"/>
      <c r="F50" s="4"/>
      <c r="G50" s="4"/>
      <c r="H50" s="4"/>
      <c r="I50" s="4"/>
      <c r="J50" s="4"/>
      <c r="K50" s="4"/>
      <c r="L50" s="4"/>
      <c r="M50" s="4"/>
      <c r="N50" s="4"/>
      <c r="O50" s="4"/>
      <c r="P50" s="4"/>
      <c r="Q50" s="4"/>
      <c r="R50" s="4"/>
      <c r="S50" s="4"/>
      <c r="T50" s="4"/>
      <c r="U50" s="4"/>
      <c r="V50" s="4"/>
      <c r="W50" s="4"/>
      <c r="X50" s="4"/>
      <c r="Y50" s="4"/>
      <c r="Z50" s="1"/>
    </row>
    <row r="51" spans="1:26" ht="13.5" customHeight="1">
      <c r="A51" s="1"/>
      <c r="B51" s="4"/>
      <c r="C51" s="4"/>
      <c r="D51" s="4"/>
      <c r="E51" s="4"/>
      <c r="F51" s="4"/>
      <c r="G51" s="4"/>
      <c r="H51" s="4"/>
      <c r="I51" s="4"/>
      <c r="J51" s="4"/>
      <c r="K51" s="4"/>
      <c r="L51" s="4"/>
      <c r="M51" s="4"/>
      <c r="N51" s="4"/>
      <c r="O51" s="4"/>
      <c r="P51" s="4"/>
      <c r="Q51" s="4"/>
      <c r="R51" s="4"/>
      <c r="S51" s="4"/>
      <c r="T51" s="4"/>
      <c r="U51" s="4"/>
      <c r="V51" s="4"/>
      <c r="W51" s="4"/>
      <c r="X51" s="4"/>
      <c r="Y51" s="4"/>
      <c r="Z51" s="1"/>
    </row>
    <row r="52" spans="1:26" ht="13.5" customHeight="1">
      <c r="A52" s="1"/>
      <c r="B52" s="4"/>
      <c r="C52" s="4"/>
      <c r="D52" s="4"/>
      <c r="E52" s="4"/>
      <c r="F52" s="4"/>
      <c r="G52" s="4"/>
      <c r="H52" s="4"/>
      <c r="I52" s="4"/>
      <c r="J52" s="4"/>
      <c r="K52" s="4"/>
      <c r="L52" s="4"/>
      <c r="M52" s="4"/>
      <c r="N52" s="4"/>
      <c r="O52" s="4"/>
      <c r="P52" s="4"/>
      <c r="Q52" s="4"/>
      <c r="R52" s="4"/>
      <c r="S52" s="4"/>
      <c r="T52" s="4"/>
      <c r="U52" s="4"/>
      <c r="V52" s="4"/>
      <c r="W52" s="4"/>
      <c r="X52" s="4"/>
      <c r="Y52" s="4"/>
      <c r="Z52" s="1"/>
    </row>
    <row r="53" spans="1:26" ht="13.5" customHeight="1">
      <c r="A53" s="1"/>
      <c r="B53" s="4"/>
      <c r="C53" s="4"/>
      <c r="D53" s="4"/>
      <c r="E53" s="4"/>
      <c r="F53" s="4"/>
      <c r="G53" s="4"/>
      <c r="H53" s="4"/>
      <c r="I53" s="4"/>
      <c r="J53" s="4"/>
      <c r="K53" s="4"/>
      <c r="L53" s="4"/>
      <c r="M53" s="4"/>
      <c r="N53" s="4"/>
      <c r="O53" s="4"/>
      <c r="P53" s="4"/>
      <c r="Q53" s="4"/>
      <c r="R53" s="4"/>
      <c r="S53" s="4"/>
      <c r="T53" s="4"/>
      <c r="U53" s="4"/>
      <c r="V53" s="4"/>
      <c r="W53" s="4"/>
      <c r="X53" s="4"/>
      <c r="Y53" s="4"/>
      <c r="Z53" s="1"/>
    </row>
    <row r="54" spans="1:26" ht="13.5" customHeight="1">
      <c r="A54" s="1"/>
      <c r="B54" s="4"/>
      <c r="C54" s="4"/>
      <c r="D54" s="4"/>
      <c r="E54" s="4"/>
      <c r="F54" s="4"/>
      <c r="G54" s="4"/>
      <c r="H54" s="4"/>
      <c r="I54" s="4"/>
      <c r="J54" s="4"/>
      <c r="K54" s="4"/>
      <c r="L54" s="4"/>
      <c r="M54" s="4"/>
      <c r="N54" s="4"/>
      <c r="O54" s="4"/>
      <c r="P54" s="4"/>
      <c r="Q54" s="4"/>
      <c r="R54" s="4"/>
      <c r="S54" s="4"/>
      <c r="T54" s="4"/>
      <c r="U54" s="4"/>
      <c r="V54" s="4"/>
      <c r="W54" s="4"/>
      <c r="X54" s="4"/>
      <c r="Y54" s="4"/>
      <c r="Z54" s="1"/>
    </row>
    <row r="55" spans="1:26" ht="13.5" customHeight="1">
      <c r="A55" s="1"/>
      <c r="B55" s="4"/>
      <c r="C55" s="4"/>
      <c r="D55" s="4"/>
      <c r="E55" s="4"/>
      <c r="F55" s="4"/>
      <c r="G55" s="4"/>
      <c r="H55" s="4"/>
      <c r="I55" s="4"/>
      <c r="J55" s="4"/>
      <c r="K55" s="4"/>
      <c r="L55" s="4"/>
      <c r="M55" s="4"/>
      <c r="N55" s="4"/>
      <c r="O55" s="4"/>
      <c r="P55" s="4"/>
      <c r="Q55" s="4"/>
      <c r="R55" s="4"/>
      <c r="S55" s="4"/>
      <c r="T55" s="4"/>
      <c r="U55" s="4"/>
      <c r="V55" s="4"/>
      <c r="W55" s="4"/>
      <c r="X55" s="4"/>
      <c r="Y55" s="4"/>
      <c r="Z55" s="1"/>
    </row>
    <row r="56" spans="1:26" ht="13.5" customHeight="1">
      <c r="A56" s="1"/>
      <c r="B56" s="4"/>
      <c r="C56" s="4"/>
      <c r="D56" s="4"/>
      <c r="E56" s="4"/>
      <c r="F56" s="4"/>
      <c r="G56" s="4"/>
      <c r="H56" s="4"/>
      <c r="I56" s="4"/>
      <c r="J56" s="4"/>
      <c r="K56" s="4"/>
      <c r="L56" s="4"/>
      <c r="M56" s="4"/>
      <c r="N56" s="4"/>
      <c r="O56" s="4"/>
      <c r="P56" s="4"/>
      <c r="Q56" s="4"/>
      <c r="R56" s="4"/>
      <c r="S56" s="4"/>
      <c r="T56" s="4"/>
      <c r="U56" s="4"/>
      <c r="V56" s="4"/>
      <c r="W56" s="4"/>
      <c r="X56" s="4"/>
      <c r="Y56" s="4"/>
      <c r="Z56" s="1"/>
    </row>
    <row r="57" spans="1:26" ht="13.5" customHeight="1">
      <c r="A57" s="1"/>
      <c r="B57" s="4"/>
      <c r="C57" s="4"/>
      <c r="D57" s="4"/>
      <c r="E57" s="4"/>
      <c r="F57" s="4"/>
      <c r="G57" s="4"/>
      <c r="H57" s="4"/>
      <c r="I57" s="4"/>
      <c r="J57" s="4"/>
      <c r="K57" s="4"/>
      <c r="L57" s="4"/>
      <c r="M57" s="4"/>
      <c r="N57" s="4"/>
      <c r="O57" s="4"/>
      <c r="P57" s="4"/>
      <c r="Q57" s="4"/>
      <c r="R57" s="4"/>
      <c r="S57" s="4"/>
      <c r="T57" s="4"/>
      <c r="U57" s="4"/>
      <c r="V57" s="4"/>
      <c r="W57" s="4"/>
      <c r="X57" s="4"/>
      <c r="Y57" s="4"/>
      <c r="Z57" s="1"/>
    </row>
    <row r="58" spans="1:26" ht="13.5" customHeight="1">
      <c r="A58" s="1"/>
      <c r="B58" s="4"/>
      <c r="C58" s="4"/>
      <c r="D58" s="4"/>
      <c r="E58" s="4"/>
      <c r="F58" s="4"/>
      <c r="G58" s="4"/>
      <c r="H58" s="4"/>
      <c r="I58" s="4"/>
      <c r="J58" s="4"/>
      <c r="K58" s="4"/>
      <c r="L58" s="4"/>
      <c r="M58" s="4"/>
      <c r="N58" s="4"/>
      <c r="O58" s="4"/>
      <c r="P58" s="4"/>
      <c r="Q58" s="4"/>
      <c r="R58" s="4"/>
      <c r="S58" s="4"/>
      <c r="T58" s="4"/>
      <c r="U58" s="4"/>
      <c r="V58" s="4"/>
      <c r="W58" s="4"/>
      <c r="X58" s="4"/>
      <c r="Y58" s="4"/>
      <c r="Z58" s="1"/>
    </row>
    <row r="59" spans="1:26" ht="13.5" customHeight="1">
      <c r="A59" s="1"/>
      <c r="B59" s="4"/>
      <c r="C59" s="4"/>
      <c r="D59" s="4"/>
      <c r="E59" s="4"/>
      <c r="F59" s="4"/>
      <c r="G59" s="4"/>
      <c r="H59" s="4"/>
      <c r="I59" s="4"/>
      <c r="J59" s="4"/>
      <c r="K59" s="4"/>
      <c r="L59" s="4"/>
      <c r="M59" s="4"/>
      <c r="N59" s="4"/>
      <c r="O59" s="4"/>
      <c r="P59" s="4"/>
      <c r="Q59" s="4"/>
      <c r="R59" s="4"/>
      <c r="S59" s="4"/>
      <c r="T59" s="4"/>
      <c r="U59" s="4"/>
      <c r="V59" s="4"/>
      <c r="W59" s="4"/>
      <c r="X59" s="4"/>
      <c r="Y59" s="4"/>
      <c r="Z59" s="1"/>
    </row>
    <row r="60" spans="1:26" ht="13.5" customHeight="1">
      <c r="A60" s="1"/>
      <c r="B60" s="4"/>
      <c r="C60" s="4"/>
      <c r="D60" s="4"/>
      <c r="E60" s="4"/>
      <c r="F60" s="4"/>
      <c r="G60" s="4"/>
      <c r="H60" s="4"/>
      <c r="I60" s="4"/>
      <c r="J60" s="4"/>
      <c r="K60" s="4"/>
      <c r="L60" s="4"/>
      <c r="M60" s="4"/>
      <c r="N60" s="4"/>
      <c r="O60" s="4"/>
      <c r="P60" s="4"/>
      <c r="Q60" s="4"/>
      <c r="R60" s="4"/>
      <c r="S60" s="4"/>
      <c r="T60" s="4"/>
      <c r="U60" s="4"/>
      <c r="V60" s="4"/>
      <c r="W60" s="4"/>
      <c r="X60" s="4"/>
      <c r="Y60" s="4"/>
      <c r="Z60" s="1"/>
    </row>
    <row r="61" spans="1:26" ht="13.5" customHeight="1">
      <c r="A61" s="1"/>
      <c r="B61" s="4"/>
      <c r="C61" s="4"/>
      <c r="D61" s="4"/>
      <c r="E61" s="4"/>
      <c r="F61" s="4"/>
      <c r="G61" s="4"/>
      <c r="H61" s="4"/>
      <c r="I61" s="4"/>
      <c r="J61" s="4"/>
      <c r="K61" s="4"/>
      <c r="L61" s="4"/>
      <c r="M61" s="4"/>
      <c r="N61" s="4"/>
      <c r="O61" s="4"/>
      <c r="P61" s="4"/>
      <c r="Q61" s="4"/>
      <c r="R61" s="4"/>
      <c r="S61" s="4"/>
      <c r="T61" s="4"/>
      <c r="U61" s="4"/>
      <c r="V61" s="4"/>
      <c r="W61" s="4"/>
      <c r="X61" s="4"/>
      <c r="Y61" s="4"/>
      <c r="Z61" s="1"/>
    </row>
    <row r="62" spans="1:26" ht="13.5" customHeight="1">
      <c r="A62" s="1"/>
      <c r="B62" s="4"/>
      <c r="C62" s="4"/>
      <c r="D62" s="4"/>
      <c r="E62" s="4"/>
      <c r="F62" s="4"/>
      <c r="G62" s="4"/>
      <c r="H62" s="4"/>
      <c r="I62" s="4"/>
      <c r="J62" s="4"/>
      <c r="K62" s="4"/>
      <c r="L62" s="4"/>
      <c r="M62" s="4"/>
      <c r="N62" s="4"/>
      <c r="O62" s="4"/>
      <c r="P62" s="4"/>
      <c r="Q62" s="4"/>
      <c r="R62" s="4"/>
      <c r="S62" s="4"/>
      <c r="T62" s="4"/>
      <c r="U62" s="4"/>
      <c r="V62" s="4"/>
      <c r="W62" s="4"/>
      <c r="X62" s="4"/>
      <c r="Y62" s="4"/>
      <c r="Z62" s="1"/>
    </row>
    <row r="63" spans="1:26" ht="13.5" customHeight="1">
      <c r="A63" s="1"/>
      <c r="B63" s="4"/>
      <c r="C63" s="4"/>
      <c r="D63" s="4"/>
      <c r="E63" s="4"/>
      <c r="F63" s="4"/>
      <c r="G63" s="4"/>
      <c r="H63" s="4"/>
      <c r="I63" s="4"/>
      <c r="J63" s="4"/>
      <c r="K63" s="4"/>
      <c r="L63" s="4"/>
      <c r="M63" s="4"/>
      <c r="N63" s="4"/>
      <c r="O63" s="4"/>
      <c r="P63" s="4"/>
      <c r="Q63" s="4"/>
      <c r="R63" s="4"/>
      <c r="S63" s="4"/>
      <c r="T63" s="4"/>
      <c r="U63" s="4"/>
      <c r="V63" s="4"/>
      <c r="W63" s="4"/>
      <c r="X63" s="4"/>
      <c r="Y63" s="4"/>
      <c r="Z63" s="1"/>
    </row>
    <row r="64" spans="1:26" ht="13.5" customHeight="1">
      <c r="A64" s="1"/>
      <c r="B64" s="4"/>
      <c r="C64" s="4"/>
      <c r="D64" s="4"/>
      <c r="E64" s="4"/>
      <c r="F64" s="4"/>
      <c r="G64" s="4"/>
      <c r="H64" s="4"/>
      <c r="I64" s="4"/>
      <c r="J64" s="4"/>
      <c r="K64" s="4"/>
      <c r="L64" s="4"/>
      <c r="M64" s="4"/>
      <c r="N64" s="4"/>
      <c r="O64" s="4"/>
      <c r="P64" s="4"/>
      <c r="Q64" s="4"/>
      <c r="R64" s="4"/>
      <c r="S64" s="4"/>
      <c r="T64" s="4"/>
      <c r="U64" s="4"/>
      <c r="V64" s="4"/>
      <c r="W64" s="4"/>
      <c r="X64" s="4"/>
      <c r="Y64" s="4"/>
      <c r="Z64" s="1"/>
    </row>
    <row r="65" spans="1:26" ht="13.5" customHeight="1">
      <c r="A65" s="1"/>
      <c r="B65" s="4"/>
      <c r="C65" s="4"/>
      <c r="D65" s="4"/>
      <c r="E65" s="4"/>
      <c r="F65" s="4"/>
      <c r="G65" s="4"/>
      <c r="H65" s="4"/>
      <c r="I65" s="4"/>
      <c r="J65" s="4"/>
      <c r="K65" s="4"/>
      <c r="L65" s="4"/>
      <c r="M65" s="4"/>
      <c r="N65" s="4"/>
      <c r="O65" s="4"/>
      <c r="P65" s="4"/>
      <c r="Q65" s="4"/>
      <c r="R65" s="4"/>
      <c r="S65" s="4"/>
      <c r="T65" s="4"/>
      <c r="U65" s="4"/>
      <c r="V65" s="4"/>
      <c r="W65" s="4"/>
      <c r="X65" s="4"/>
      <c r="Y65" s="4"/>
      <c r="Z65" s="1"/>
    </row>
    <row r="66" spans="1:26" ht="13.5" customHeight="1">
      <c r="A66" s="1"/>
      <c r="B66" s="4"/>
      <c r="C66" s="4"/>
      <c r="D66" s="4"/>
      <c r="E66" s="4"/>
      <c r="F66" s="4"/>
      <c r="G66" s="4"/>
      <c r="H66" s="4"/>
      <c r="I66" s="4"/>
      <c r="J66" s="4"/>
      <c r="K66" s="4"/>
      <c r="L66" s="4"/>
      <c r="M66" s="4"/>
      <c r="N66" s="4"/>
      <c r="O66" s="4"/>
      <c r="P66" s="4"/>
      <c r="Q66" s="4"/>
      <c r="R66" s="4"/>
      <c r="S66" s="4"/>
      <c r="T66" s="4"/>
      <c r="U66" s="4"/>
      <c r="V66" s="4"/>
      <c r="W66" s="4"/>
      <c r="X66" s="4"/>
      <c r="Y66" s="4"/>
      <c r="Z66" s="1"/>
    </row>
    <row r="67" spans="1:26" ht="13.5" customHeight="1">
      <c r="A67" s="1"/>
      <c r="B67" s="4"/>
      <c r="C67" s="4"/>
      <c r="D67" s="4"/>
      <c r="E67" s="4"/>
      <c r="F67" s="4"/>
      <c r="G67" s="4"/>
      <c r="H67" s="4"/>
      <c r="I67" s="4"/>
      <c r="J67" s="4"/>
      <c r="K67" s="4"/>
      <c r="L67" s="4"/>
      <c r="M67" s="4"/>
      <c r="N67" s="4"/>
      <c r="O67" s="4"/>
      <c r="P67" s="4"/>
      <c r="Q67" s="4"/>
      <c r="R67" s="4"/>
      <c r="S67" s="4"/>
      <c r="T67" s="4"/>
      <c r="U67" s="4"/>
      <c r="V67" s="4"/>
      <c r="W67" s="4"/>
      <c r="X67" s="4"/>
      <c r="Y67" s="4"/>
      <c r="Z67" s="1"/>
    </row>
    <row r="68" spans="1:26" ht="13.5" customHeight="1">
      <c r="A68" s="1"/>
      <c r="B68" s="4"/>
      <c r="C68" s="4"/>
      <c r="D68" s="4"/>
      <c r="E68" s="4"/>
      <c r="F68" s="4"/>
      <c r="G68" s="4"/>
      <c r="H68" s="4"/>
      <c r="I68" s="4"/>
      <c r="J68" s="4"/>
      <c r="K68" s="4"/>
      <c r="L68" s="4"/>
      <c r="M68" s="4"/>
      <c r="N68" s="4"/>
      <c r="O68" s="4"/>
      <c r="P68" s="4"/>
      <c r="Q68" s="4"/>
      <c r="R68" s="4"/>
      <c r="S68" s="4"/>
      <c r="T68" s="4"/>
      <c r="U68" s="4"/>
      <c r="V68" s="4"/>
      <c r="W68" s="4"/>
      <c r="X68" s="4"/>
      <c r="Y68" s="4"/>
      <c r="Z68" s="1"/>
    </row>
    <row r="69" spans="1:26" ht="13.5" customHeight="1">
      <c r="A69" s="1"/>
      <c r="B69" s="4"/>
      <c r="C69" s="4"/>
      <c r="D69" s="4"/>
      <c r="E69" s="4"/>
      <c r="F69" s="4"/>
      <c r="G69" s="4"/>
      <c r="H69" s="4"/>
      <c r="I69" s="4"/>
      <c r="J69" s="4"/>
      <c r="K69" s="4"/>
      <c r="L69" s="4"/>
      <c r="M69" s="4"/>
      <c r="N69" s="4"/>
      <c r="O69" s="4"/>
      <c r="P69" s="4"/>
      <c r="Q69" s="4"/>
      <c r="R69" s="4"/>
      <c r="S69" s="4"/>
      <c r="T69" s="4"/>
      <c r="U69" s="4"/>
      <c r="V69" s="4"/>
      <c r="W69" s="4"/>
      <c r="X69" s="4"/>
      <c r="Y69" s="4"/>
      <c r="Z69" s="1"/>
    </row>
    <row r="70" spans="1:26" ht="13.5" customHeight="1">
      <c r="A70" s="1"/>
      <c r="B70" s="4"/>
      <c r="C70" s="4"/>
      <c r="D70" s="4"/>
      <c r="E70" s="4"/>
      <c r="F70" s="4"/>
      <c r="G70" s="4"/>
      <c r="H70" s="4"/>
      <c r="I70" s="4"/>
      <c r="J70" s="4"/>
      <c r="K70" s="4"/>
      <c r="L70" s="4"/>
      <c r="M70" s="4"/>
      <c r="N70" s="4"/>
      <c r="O70" s="4"/>
      <c r="P70" s="4"/>
      <c r="Q70" s="4"/>
      <c r="R70" s="4"/>
      <c r="S70" s="4"/>
      <c r="T70" s="4"/>
      <c r="U70" s="4"/>
      <c r="V70" s="4"/>
      <c r="W70" s="4"/>
      <c r="X70" s="4"/>
      <c r="Y70" s="4"/>
      <c r="Z70" s="1"/>
    </row>
    <row r="71" spans="1:26" ht="13.5" customHeight="1">
      <c r="A71" s="1"/>
      <c r="B71" s="4"/>
      <c r="C71" s="4"/>
      <c r="D71" s="4"/>
      <c r="E71" s="4"/>
      <c r="F71" s="4"/>
      <c r="G71" s="4"/>
      <c r="H71" s="4"/>
      <c r="I71" s="4"/>
      <c r="J71" s="4"/>
      <c r="K71" s="4"/>
      <c r="L71" s="4"/>
      <c r="M71" s="4"/>
      <c r="N71" s="4"/>
      <c r="O71" s="4"/>
      <c r="P71" s="4"/>
      <c r="Q71" s="4"/>
      <c r="R71" s="4"/>
      <c r="S71" s="4"/>
      <c r="T71" s="4"/>
      <c r="U71" s="4"/>
      <c r="V71" s="4"/>
      <c r="W71" s="4"/>
      <c r="X71" s="4"/>
      <c r="Y71" s="4"/>
      <c r="Z71" s="1"/>
    </row>
    <row r="72" spans="1:26" ht="13.5" customHeight="1">
      <c r="A72" s="1"/>
      <c r="B72" s="4"/>
      <c r="C72" s="4"/>
      <c r="D72" s="4"/>
      <c r="E72" s="4"/>
      <c r="F72" s="4"/>
      <c r="G72" s="4"/>
      <c r="H72" s="4"/>
      <c r="I72" s="4"/>
      <c r="J72" s="4"/>
      <c r="K72" s="4"/>
      <c r="L72" s="4"/>
      <c r="M72" s="4"/>
      <c r="N72" s="4"/>
      <c r="O72" s="4"/>
      <c r="P72" s="4"/>
      <c r="Q72" s="4"/>
      <c r="R72" s="4"/>
      <c r="S72" s="4"/>
      <c r="T72" s="4"/>
      <c r="U72" s="4"/>
      <c r="V72" s="4"/>
      <c r="W72" s="4"/>
      <c r="X72" s="4"/>
      <c r="Y72" s="4"/>
      <c r="Z72" s="1"/>
    </row>
    <row r="73" spans="1:26" ht="13.5" customHeight="1">
      <c r="A73" s="1"/>
      <c r="B73" s="4"/>
      <c r="C73" s="4"/>
      <c r="D73" s="4"/>
      <c r="E73" s="4"/>
      <c r="F73" s="4"/>
      <c r="G73" s="4"/>
      <c r="H73" s="4"/>
      <c r="I73" s="4"/>
      <c r="J73" s="4"/>
      <c r="K73" s="4"/>
      <c r="L73" s="4"/>
      <c r="M73" s="4"/>
      <c r="N73" s="4"/>
      <c r="O73" s="4"/>
      <c r="P73" s="4"/>
      <c r="Q73" s="4"/>
      <c r="R73" s="4"/>
      <c r="S73" s="4"/>
      <c r="T73" s="4"/>
      <c r="U73" s="4"/>
      <c r="V73" s="4"/>
      <c r="W73" s="4"/>
      <c r="X73" s="4"/>
      <c r="Y73" s="4"/>
      <c r="Z73" s="1"/>
    </row>
    <row r="74" spans="1:26" ht="13.5" customHeight="1">
      <c r="A74" s="1"/>
      <c r="B74" s="4"/>
      <c r="C74" s="4"/>
      <c r="D74" s="4"/>
      <c r="E74" s="4"/>
      <c r="F74" s="4"/>
      <c r="G74" s="4"/>
      <c r="H74" s="4"/>
      <c r="I74" s="4"/>
      <c r="J74" s="4"/>
      <c r="K74" s="4"/>
      <c r="L74" s="4"/>
      <c r="M74" s="4"/>
      <c r="N74" s="4"/>
      <c r="O74" s="4"/>
      <c r="P74" s="4"/>
      <c r="Q74" s="4"/>
      <c r="R74" s="4"/>
      <c r="S74" s="4"/>
      <c r="T74" s="4"/>
      <c r="U74" s="4"/>
      <c r="V74" s="4"/>
      <c r="W74" s="4"/>
      <c r="X74" s="4"/>
      <c r="Y74" s="4"/>
      <c r="Z74" s="1"/>
    </row>
    <row r="75" spans="1:26" ht="13.5" customHeight="1">
      <c r="A75" s="1"/>
      <c r="B75" s="4"/>
      <c r="C75" s="4"/>
      <c r="D75" s="4"/>
      <c r="E75" s="4"/>
      <c r="F75" s="4"/>
      <c r="G75" s="4"/>
      <c r="H75" s="4"/>
      <c r="I75" s="4"/>
      <c r="J75" s="4"/>
      <c r="K75" s="4"/>
      <c r="L75" s="4"/>
      <c r="M75" s="4"/>
      <c r="N75" s="4"/>
      <c r="O75" s="4"/>
      <c r="P75" s="4"/>
      <c r="Q75" s="4"/>
      <c r="R75" s="4"/>
      <c r="S75" s="4"/>
      <c r="T75" s="4"/>
      <c r="U75" s="4"/>
      <c r="V75" s="4"/>
      <c r="W75" s="4"/>
      <c r="X75" s="4"/>
      <c r="Y75" s="4"/>
      <c r="Z75" s="1"/>
    </row>
    <row r="76" spans="1:26" ht="13.5" customHeight="1">
      <c r="A76" s="1"/>
      <c r="B76" s="4"/>
      <c r="C76" s="4"/>
      <c r="D76" s="4"/>
      <c r="E76" s="4"/>
      <c r="F76" s="4"/>
      <c r="G76" s="4"/>
      <c r="H76" s="4"/>
      <c r="I76" s="4"/>
      <c r="J76" s="4"/>
      <c r="K76" s="4"/>
      <c r="L76" s="4"/>
      <c r="M76" s="4"/>
      <c r="N76" s="4"/>
      <c r="O76" s="4"/>
      <c r="P76" s="4"/>
      <c r="Q76" s="4"/>
      <c r="R76" s="4"/>
      <c r="S76" s="4"/>
      <c r="T76" s="4"/>
      <c r="U76" s="4"/>
      <c r="V76" s="4"/>
      <c r="W76" s="4"/>
      <c r="X76" s="4"/>
      <c r="Y76" s="4"/>
      <c r="Z76" s="1"/>
    </row>
    <row r="77" spans="1:26" ht="13.5" customHeight="1">
      <c r="A77" s="1"/>
      <c r="B77" s="4"/>
      <c r="C77" s="4"/>
      <c r="D77" s="4"/>
      <c r="E77" s="4"/>
      <c r="F77" s="4"/>
      <c r="G77" s="4"/>
      <c r="H77" s="4"/>
      <c r="I77" s="4"/>
      <c r="J77" s="4"/>
      <c r="K77" s="4"/>
      <c r="L77" s="4"/>
      <c r="M77" s="4"/>
      <c r="N77" s="4"/>
      <c r="O77" s="4"/>
      <c r="P77" s="4"/>
      <c r="Q77" s="4"/>
      <c r="R77" s="4"/>
      <c r="S77" s="4"/>
      <c r="T77" s="4"/>
      <c r="U77" s="4"/>
      <c r="V77" s="4"/>
      <c r="W77" s="4"/>
      <c r="X77" s="4"/>
      <c r="Y77" s="4"/>
      <c r="Z77" s="1"/>
    </row>
    <row r="78" spans="1:26" ht="13.5" customHeight="1">
      <c r="A78" s="1"/>
      <c r="B78" s="4"/>
      <c r="C78" s="4"/>
      <c r="D78" s="4"/>
      <c r="E78" s="4"/>
      <c r="F78" s="4"/>
      <c r="G78" s="4"/>
      <c r="H78" s="4"/>
      <c r="I78" s="4"/>
      <c r="J78" s="4"/>
      <c r="K78" s="4"/>
      <c r="L78" s="4"/>
      <c r="M78" s="4"/>
      <c r="N78" s="4"/>
      <c r="O78" s="4"/>
      <c r="P78" s="4"/>
      <c r="Q78" s="4"/>
      <c r="R78" s="4"/>
      <c r="S78" s="4"/>
      <c r="T78" s="4"/>
      <c r="U78" s="4"/>
      <c r="V78" s="4"/>
      <c r="W78" s="4"/>
      <c r="X78" s="4"/>
      <c r="Y78" s="4"/>
      <c r="Z78" s="1"/>
    </row>
    <row r="79" spans="1:26" ht="13.5" customHeight="1">
      <c r="A79" s="1"/>
      <c r="B79" s="4"/>
      <c r="C79" s="4"/>
      <c r="D79" s="4"/>
      <c r="E79" s="4"/>
      <c r="F79" s="4"/>
      <c r="G79" s="4"/>
      <c r="H79" s="4"/>
      <c r="I79" s="4"/>
      <c r="J79" s="4"/>
      <c r="K79" s="4"/>
      <c r="L79" s="4"/>
      <c r="M79" s="4"/>
      <c r="N79" s="4"/>
      <c r="O79" s="4"/>
      <c r="P79" s="4"/>
      <c r="Q79" s="4"/>
      <c r="R79" s="4"/>
      <c r="S79" s="4"/>
      <c r="T79" s="4"/>
      <c r="U79" s="4"/>
      <c r="V79" s="4"/>
      <c r="W79" s="4"/>
      <c r="X79" s="4"/>
      <c r="Y79" s="4"/>
      <c r="Z79" s="1"/>
    </row>
    <row r="80" spans="1:26" ht="13.5" customHeight="1">
      <c r="A80" s="1"/>
      <c r="B80" s="4"/>
      <c r="C80" s="4"/>
      <c r="D80" s="4"/>
      <c r="E80" s="4"/>
      <c r="F80" s="4"/>
      <c r="G80" s="4"/>
      <c r="H80" s="4"/>
      <c r="I80" s="4"/>
      <c r="J80" s="4"/>
      <c r="K80" s="4"/>
      <c r="L80" s="4"/>
      <c r="M80" s="4"/>
      <c r="N80" s="4"/>
      <c r="O80" s="4"/>
      <c r="P80" s="4"/>
      <c r="Q80" s="4"/>
      <c r="R80" s="4"/>
      <c r="S80" s="4"/>
      <c r="T80" s="4"/>
      <c r="U80" s="4"/>
      <c r="V80" s="4"/>
      <c r="W80" s="4"/>
      <c r="X80" s="4"/>
      <c r="Y80" s="4"/>
      <c r="Z80" s="1"/>
    </row>
    <row r="81" spans="1:26" ht="13.5" customHeight="1">
      <c r="A81" s="1"/>
      <c r="B81" s="4"/>
      <c r="C81" s="4"/>
      <c r="D81" s="4"/>
      <c r="E81" s="4"/>
      <c r="F81" s="4"/>
      <c r="G81" s="4"/>
      <c r="H81" s="4"/>
      <c r="I81" s="4"/>
      <c r="J81" s="4"/>
      <c r="K81" s="4"/>
      <c r="L81" s="4"/>
      <c r="M81" s="4"/>
      <c r="N81" s="4"/>
      <c r="O81" s="4"/>
      <c r="P81" s="4"/>
      <c r="Q81" s="4"/>
      <c r="R81" s="4"/>
      <c r="S81" s="4"/>
      <c r="T81" s="4"/>
      <c r="U81" s="4"/>
      <c r="V81" s="4"/>
      <c r="W81" s="4"/>
      <c r="X81" s="4"/>
      <c r="Y81" s="4"/>
      <c r="Z81" s="1"/>
    </row>
    <row r="82" spans="1:26" ht="13.5" customHeight="1">
      <c r="A82" s="1"/>
      <c r="B82" s="4"/>
      <c r="C82" s="4"/>
      <c r="D82" s="4"/>
      <c r="E82" s="4"/>
      <c r="F82" s="4"/>
      <c r="G82" s="4"/>
      <c r="H82" s="4"/>
      <c r="I82" s="4"/>
      <c r="J82" s="4"/>
      <c r="K82" s="4"/>
      <c r="L82" s="4"/>
      <c r="M82" s="4"/>
      <c r="N82" s="4"/>
      <c r="O82" s="4"/>
      <c r="P82" s="4"/>
      <c r="Q82" s="4"/>
      <c r="R82" s="4"/>
      <c r="S82" s="4"/>
      <c r="T82" s="4"/>
      <c r="U82" s="4"/>
      <c r="V82" s="4"/>
      <c r="W82" s="4"/>
      <c r="X82" s="4"/>
      <c r="Y82" s="4"/>
      <c r="Z82" s="1"/>
    </row>
    <row r="83" spans="1:26" ht="13.5" customHeight="1">
      <c r="A83" s="1"/>
      <c r="B83" s="4"/>
      <c r="C83" s="4"/>
      <c r="D83" s="4"/>
      <c r="E83" s="4"/>
      <c r="F83" s="4"/>
      <c r="G83" s="4"/>
      <c r="H83" s="4"/>
      <c r="I83" s="4"/>
      <c r="J83" s="4"/>
      <c r="K83" s="4"/>
      <c r="L83" s="4"/>
      <c r="M83" s="4"/>
      <c r="N83" s="4"/>
      <c r="O83" s="4"/>
      <c r="P83" s="4"/>
      <c r="Q83" s="4"/>
      <c r="R83" s="4"/>
      <c r="S83" s="4"/>
      <c r="T83" s="4"/>
      <c r="U83" s="4"/>
      <c r="V83" s="4"/>
      <c r="W83" s="4"/>
      <c r="X83" s="4"/>
      <c r="Y83" s="4"/>
      <c r="Z83" s="1"/>
    </row>
    <row r="84" spans="1:26" ht="13.5" customHeight="1">
      <c r="A84" s="1"/>
      <c r="B84" s="4"/>
      <c r="C84" s="4"/>
      <c r="D84" s="4"/>
      <c r="E84" s="4"/>
      <c r="F84" s="4"/>
      <c r="G84" s="4"/>
      <c r="H84" s="4"/>
      <c r="I84" s="4"/>
      <c r="J84" s="4"/>
      <c r="K84" s="4"/>
      <c r="L84" s="4"/>
      <c r="M84" s="4"/>
      <c r="N84" s="4"/>
      <c r="O84" s="4"/>
      <c r="P84" s="4"/>
      <c r="Q84" s="4"/>
      <c r="R84" s="4"/>
      <c r="S84" s="4"/>
      <c r="T84" s="4"/>
      <c r="U84" s="4"/>
      <c r="V84" s="4"/>
      <c r="W84" s="4"/>
      <c r="X84" s="4"/>
      <c r="Y84" s="4"/>
      <c r="Z84" s="1"/>
    </row>
    <row r="85" spans="1:26" ht="13.5" customHeight="1">
      <c r="A85" s="1"/>
      <c r="B85" s="4"/>
      <c r="C85" s="4"/>
      <c r="D85" s="4"/>
      <c r="E85" s="4"/>
      <c r="F85" s="4"/>
      <c r="G85" s="4"/>
      <c r="H85" s="4"/>
      <c r="I85" s="4"/>
      <c r="J85" s="4"/>
      <c r="K85" s="4"/>
      <c r="L85" s="4"/>
      <c r="M85" s="4"/>
      <c r="N85" s="4"/>
      <c r="O85" s="4"/>
      <c r="P85" s="4"/>
      <c r="Q85" s="4"/>
      <c r="R85" s="4"/>
      <c r="S85" s="4"/>
      <c r="T85" s="4"/>
      <c r="U85" s="4"/>
      <c r="V85" s="4"/>
      <c r="W85" s="4"/>
      <c r="X85" s="4"/>
      <c r="Y85" s="4"/>
      <c r="Z85" s="1"/>
    </row>
    <row r="86" spans="1:26" ht="13.5" customHeight="1">
      <c r="A86" s="1"/>
      <c r="B86" s="4"/>
      <c r="C86" s="4"/>
      <c r="D86" s="4"/>
      <c r="E86" s="4"/>
      <c r="F86" s="4"/>
      <c r="G86" s="4"/>
      <c r="H86" s="4"/>
      <c r="I86" s="4"/>
      <c r="J86" s="4"/>
      <c r="K86" s="4"/>
      <c r="L86" s="4"/>
      <c r="M86" s="4"/>
      <c r="N86" s="4"/>
      <c r="O86" s="4"/>
      <c r="P86" s="4"/>
      <c r="Q86" s="4"/>
      <c r="R86" s="4"/>
      <c r="S86" s="4"/>
      <c r="T86" s="4"/>
      <c r="U86" s="4"/>
      <c r="V86" s="4"/>
      <c r="W86" s="4"/>
      <c r="X86" s="4"/>
      <c r="Y86" s="4"/>
      <c r="Z86" s="1"/>
    </row>
    <row r="87" spans="1:26" ht="13.5" customHeight="1">
      <c r="A87" s="1"/>
      <c r="B87" s="4"/>
      <c r="C87" s="4"/>
      <c r="D87" s="4"/>
      <c r="E87" s="4"/>
      <c r="F87" s="4"/>
      <c r="G87" s="4"/>
      <c r="H87" s="4"/>
      <c r="I87" s="4"/>
      <c r="J87" s="4"/>
      <c r="K87" s="4"/>
      <c r="L87" s="4"/>
      <c r="M87" s="4"/>
      <c r="N87" s="4"/>
      <c r="O87" s="4"/>
      <c r="P87" s="4"/>
      <c r="Q87" s="4"/>
      <c r="R87" s="4"/>
      <c r="S87" s="4"/>
      <c r="T87" s="4"/>
      <c r="U87" s="4"/>
      <c r="V87" s="4"/>
      <c r="W87" s="4"/>
      <c r="X87" s="4"/>
      <c r="Y87" s="4"/>
      <c r="Z87" s="1"/>
    </row>
    <row r="88" spans="1:26" ht="13.5" customHeight="1">
      <c r="A88" s="1"/>
      <c r="B88" s="4"/>
      <c r="C88" s="4"/>
      <c r="D88" s="4"/>
      <c r="E88" s="4"/>
      <c r="F88" s="4"/>
      <c r="G88" s="4"/>
      <c r="H88" s="4"/>
      <c r="I88" s="4"/>
      <c r="J88" s="4"/>
      <c r="K88" s="4"/>
      <c r="L88" s="4"/>
      <c r="M88" s="4"/>
      <c r="N88" s="4"/>
      <c r="O88" s="4"/>
      <c r="P88" s="4"/>
      <c r="Q88" s="4"/>
      <c r="R88" s="4"/>
      <c r="S88" s="4"/>
      <c r="T88" s="4"/>
      <c r="U88" s="4"/>
      <c r="V88" s="4"/>
      <c r="W88" s="4"/>
      <c r="X88" s="4"/>
      <c r="Y88" s="4"/>
      <c r="Z88" s="1"/>
    </row>
    <row r="89" spans="1:26" ht="13.5" customHeight="1">
      <c r="A89" s="1"/>
      <c r="B89" s="4"/>
      <c r="C89" s="4"/>
      <c r="D89" s="4"/>
      <c r="E89" s="4"/>
      <c r="F89" s="4"/>
      <c r="G89" s="4"/>
      <c r="H89" s="4"/>
      <c r="I89" s="4"/>
      <c r="J89" s="4"/>
      <c r="K89" s="4"/>
      <c r="L89" s="4"/>
      <c r="M89" s="4"/>
      <c r="N89" s="4"/>
      <c r="O89" s="4"/>
      <c r="P89" s="4"/>
      <c r="Q89" s="4"/>
      <c r="R89" s="4"/>
      <c r="S89" s="4"/>
      <c r="T89" s="4"/>
      <c r="U89" s="4"/>
      <c r="V89" s="4"/>
      <c r="W89" s="4"/>
      <c r="X89" s="4"/>
      <c r="Y89" s="4"/>
      <c r="Z89" s="1"/>
    </row>
    <row r="90" spans="1:26" ht="13.5" customHeight="1">
      <c r="A90" s="1"/>
      <c r="B90" s="4"/>
      <c r="C90" s="4"/>
      <c r="D90" s="4"/>
      <c r="E90" s="4"/>
      <c r="F90" s="4"/>
      <c r="G90" s="4"/>
      <c r="H90" s="4"/>
      <c r="I90" s="4"/>
      <c r="J90" s="4"/>
      <c r="K90" s="4"/>
      <c r="L90" s="4"/>
      <c r="M90" s="4"/>
      <c r="N90" s="4"/>
      <c r="O90" s="4"/>
      <c r="P90" s="4"/>
      <c r="Q90" s="4"/>
      <c r="R90" s="4"/>
      <c r="S90" s="4"/>
      <c r="T90" s="4"/>
      <c r="U90" s="4"/>
      <c r="V90" s="4"/>
      <c r="W90" s="4"/>
      <c r="X90" s="4"/>
      <c r="Y90" s="4"/>
      <c r="Z90" s="1"/>
    </row>
    <row r="91" spans="1:26" ht="13.5" customHeight="1">
      <c r="A91" s="1"/>
      <c r="B91" s="4"/>
      <c r="C91" s="4"/>
      <c r="D91" s="4"/>
      <c r="E91" s="4"/>
      <c r="F91" s="4"/>
      <c r="G91" s="4"/>
      <c r="H91" s="4"/>
      <c r="I91" s="4"/>
      <c r="J91" s="4"/>
      <c r="K91" s="4"/>
      <c r="L91" s="4"/>
      <c r="M91" s="4"/>
      <c r="N91" s="4"/>
      <c r="O91" s="4"/>
      <c r="P91" s="4"/>
      <c r="Q91" s="4"/>
      <c r="R91" s="4"/>
      <c r="S91" s="4"/>
      <c r="T91" s="4"/>
      <c r="U91" s="4"/>
      <c r="V91" s="4"/>
      <c r="W91" s="4"/>
      <c r="X91" s="4"/>
      <c r="Y91" s="4"/>
      <c r="Z91" s="1"/>
    </row>
    <row r="92" spans="1:26" ht="13.5" customHeight="1">
      <c r="A92" s="1"/>
      <c r="B92" s="4"/>
      <c r="C92" s="4"/>
      <c r="D92" s="4"/>
      <c r="E92" s="4"/>
      <c r="F92" s="4"/>
      <c r="G92" s="4"/>
      <c r="H92" s="4"/>
      <c r="I92" s="4"/>
      <c r="J92" s="4"/>
      <c r="K92" s="4"/>
      <c r="L92" s="4"/>
      <c r="M92" s="4"/>
      <c r="N92" s="4"/>
      <c r="O92" s="4"/>
      <c r="P92" s="4"/>
      <c r="Q92" s="4"/>
      <c r="R92" s="4"/>
      <c r="S92" s="4"/>
      <c r="T92" s="4"/>
      <c r="U92" s="4"/>
      <c r="V92" s="4"/>
      <c r="W92" s="4"/>
      <c r="X92" s="4"/>
      <c r="Y92" s="4"/>
      <c r="Z92" s="1"/>
    </row>
    <row r="93" spans="1:26" ht="13.5" customHeight="1">
      <c r="A93" s="1"/>
      <c r="B93" s="4"/>
      <c r="C93" s="4"/>
      <c r="D93" s="4"/>
      <c r="E93" s="4"/>
      <c r="F93" s="4"/>
      <c r="G93" s="4"/>
      <c r="H93" s="4"/>
      <c r="I93" s="4"/>
      <c r="J93" s="4"/>
      <c r="K93" s="4"/>
      <c r="L93" s="4"/>
      <c r="M93" s="4"/>
      <c r="N93" s="4"/>
      <c r="O93" s="4"/>
      <c r="P93" s="4"/>
      <c r="Q93" s="4"/>
      <c r="R93" s="4"/>
      <c r="S93" s="4"/>
      <c r="T93" s="4"/>
      <c r="U93" s="4"/>
      <c r="V93" s="4"/>
      <c r="W93" s="4"/>
      <c r="X93" s="4"/>
      <c r="Y93" s="4"/>
      <c r="Z93" s="1"/>
    </row>
    <row r="94" spans="1:26" ht="13.5" customHeight="1">
      <c r="A94" s="1"/>
      <c r="B94" s="4"/>
      <c r="C94" s="4"/>
      <c r="D94" s="4"/>
      <c r="E94" s="4"/>
      <c r="F94" s="4"/>
      <c r="G94" s="4"/>
      <c r="H94" s="4"/>
      <c r="I94" s="4"/>
      <c r="J94" s="4"/>
      <c r="K94" s="4"/>
      <c r="L94" s="4"/>
      <c r="M94" s="4"/>
      <c r="N94" s="4"/>
      <c r="O94" s="4"/>
      <c r="P94" s="4"/>
      <c r="Q94" s="4"/>
      <c r="R94" s="4"/>
      <c r="S94" s="4"/>
      <c r="T94" s="4"/>
      <c r="U94" s="4"/>
      <c r="V94" s="4"/>
      <c r="W94" s="4"/>
      <c r="X94" s="4"/>
      <c r="Y94" s="4"/>
      <c r="Z94" s="1"/>
    </row>
    <row r="95" spans="1:26" ht="13.5" customHeight="1">
      <c r="A95" s="1"/>
      <c r="B95" s="4"/>
      <c r="C95" s="4"/>
      <c r="D95" s="4"/>
      <c r="E95" s="4"/>
      <c r="F95" s="4"/>
      <c r="G95" s="4"/>
      <c r="H95" s="4"/>
      <c r="I95" s="4"/>
      <c r="J95" s="4"/>
      <c r="K95" s="4"/>
      <c r="L95" s="4"/>
      <c r="M95" s="4"/>
      <c r="N95" s="4"/>
      <c r="O95" s="4"/>
      <c r="P95" s="4"/>
      <c r="Q95" s="4"/>
      <c r="R95" s="4"/>
      <c r="S95" s="4"/>
      <c r="T95" s="4"/>
      <c r="U95" s="4"/>
      <c r="V95" s="4"/>
      <c r="W95" s="4"/>
      <c r="X95" s="4"/>
      <c r="Y95" s="4"/>
      <c r="Z95" s="1"/>
    </row>
    <row r="96" spans="1:26" ht="13.5" customHeight="1">
      <c r="A96" s="1"/>
      <c r="B96" s="4"/>
      <c r="C96" s="4"/>
      <c r="D96" s="4"/>
      <c r="E96" s="4"/>
      <c r="F96" s="4"/>
      <c r="G96" s="4"/>
      <c r="H96" s="4"/>
      <c r="I96" s="4"/>
      <c r="J96" s="4"/>
      <c r="K96" s="4"/>
      <c r="L96" s="4"/>
      <c r="M96" s="4"/>
      <c r="N96" s="4"/>
      <c r="O96" s="4"/>
      <c r="P96" s="4"/>
      <c r="Q96" s="4"/>
      <c r="R96" s="4"/>
      <c r="S96" s="4"/>
      <c r="T96" s="4"/>
      <c r="U96" s="4"/>
      <c r="V96" s="4"/>
      <c r="W96" s="4"/>
      <c r="X96" s="4"/>
      <c r="Y96" s="4"/>
      <c r="Z96" s="1"/>
    </row>
    <row r="97" spans="1:26" ht="13.5" customHeight="1">
      <c r="A97" s="1"/>
      <c r="B97" s="4"/>
      <c r="C97" s="4"/>
      <c r="D97" s="4"/>
      <c r="E97" s="4"/>
      <c r="F97" s="4"/>
      <c r="G97" s="4"/>
      <c r="H97" s="4"/>
      <c r="I97" s="4"/>
      <c r="J97" s="4"/>
      <c r="K97" s="4"/>
      <c r="L97" s="4"/>
      <c r="M97" s="4"/>
      <c r="N97" s="4"/>
      <c r="O97" s="4"/>
      <c r="P97" s="4"/>
      <c r="Q97" s="4"/>
      <c r="R97" s="4"/>
      <c r="S97" s="4"/>
      <c r="T97" s="4"/>
      <c r="U97" s="4"/>
      <c r="V97" s="4"/>
      <c r="W97" s="4"/>
      <c r="X97" s="4"/>
      <c r="Y97" s="4"/>
      <c r="Z97" s="1"/>
    </row>
    <row r="98" spans="1:26" ht="13.5" customHeight="1">
      <c r="A98" s="1"/>
      <c r="B98" s="4"/>
      <c r="C98" s="4"/>
      <c r="D98" s="4"/>
      <c r="E98" s="4"/>
      <c r="F98" s="4"/>
      <c r="G98" s="4"/>
      <c r="H98" s="4"/>
      <c r="I98" s="4"/>
      <c r="J98" s="4"/>
      <c r="K98" s="4"/>
      <c r="L98" s="4"/>
      <c r="M98" s="4"/>
      <c r="N98" s="4"/>
      <c r="O98" s="4"/>
      <c r="P98" s="4"/>
      <c r="Q98" s="4"/>
      <c r="R98" s="4"/>
      <c r="S98" s="4"/>
      <c r="T98" s="4"/>
      <c r="U98" s="4"/>
      <c r="V98" s="4"/>
      <c r="W98" s="4"/>
      <c r="X98" s="4"/>
      <c r="Y98" s="4"/>
      <c r="Z98" s="1"/>
    </row>
    <row r="99" spans="1:26" ht="13.5" customHeight="1">
      <c r="A99" s="1"/>
      <c r="B99" s="4"/>
      <c r="C99" s="4"/>
      <c r="D99" s="4"/>
      <c r="E99" s="4"/>
      <c r="F99" s="4"/>
      <c r="G99" s="4"/>
      <c r="H99" s="4"/>
      <c r="I99" s="4"/>
      <c r="J99" s="4"/>
      <c r="K99" s="4"/>
      <c r="L99" s="4"/>
      <c r="M99" s="4"/>
      <c r="N99" s="4"/>
      <c r="O99" s="4"/>
      <c r="P99" s="4"/>
      <c r="Q99" s="4"/>
      <c r="R99" s="4"/>
      <c r="S99" s="4"/>
      <c r="T99" s="4"/>
      <c r="U99" s="4"/>
      <c r="V99" s="4"/>
      <c r="W99" s="4"/>
      <c r="X99" s="4"/>
      <c r="Y99" s="4"/>
      <c r="Z99" s="1"/>
    </row>
    <row r="100" spans="1:26" ht="13.5" customHeight="1">
      <c r="A100" s="1"/>
      <c r="B100" s="4"/>
      <c r="C100" s="4"/>
      <c r="D100" s="4"/>
      <c r="E100" s="4"/>
      <c r="F100" s="4"/>
      <c r="G100" s="4"/>
      <c r="H100" s="4"/>
      <c r="I100" s="4"/>
      <c r="J100" s="4"/>
      <c r="K100" s="4"/>
      <c r="L100" s="4"/>
      <c r="M100" s="4"/>
      <c r="N100" s="4"/>
      <c r="O100" s="4"/>
      <c r="P100" s="4"/>
      <c r="Q100" s="4"/>
      <c r="R100" s="4"/>
      <c r="S100" s="4"/>
      <c r="T100" s="4"/>
      <c r="U100" s="4"/>
      <c r="V100" s="4"/>
      <c r="W100" s="4"/>
      <c r="X100" s="4"/>
      <c r="Y100" s="4"/>
      <c r="Z100" s="1"/>
    </row>
    <row r="101" spans="1:26" ht="13.5" customHeight="1">
      <c r="A101" s="1"/>
      <c r="B101" s="4"/>
      <c r="C101" s="4"/>
      <c r="D101" s="4"/>
      <c r="E101" s="4"/>
      <c r="F101" s="4"/>
      <c r="G101" s="4"/>
      <c r="H101" s="4"/>
      <c r="I101" s="4"/>
      <c r="J101" s="4"/>
      <c r="K101" s="4"/>
      <c r="L101" s="4"/>
      <c r="M101" s="4"/>
      <c r="N101" s="4"/>
      <c r="O101" s="4"/>
      <c r="P101" s="4"/>
      <c r="Q101" s="4"/>
      <c r="R101" s="4"/>
      <c r="S101" s="4"/>
      <c r="T101" s="4"/>
      <c r="U101" s="4"/>
      <c r="V101" s="4"/>
      <c r="W101" s="4"/>
      <c r="X101" s="4"/>
      <c r="Y101" s="4"/>
      <c r="Z101" s="1"/>
    </row>
    <row r="102" spans="1:26" ht="13.5" customHeight="1">
      <c r="A102" s="1"/>
      <c r="B102" s="4"/>
      <c r="C102" s="4"/>
      <c r="D102" s="4"/>
      <c r="E102" s="4"/>
      <c r="F102" s="4"/>
      <c r="G102" s="4"/>
      <c r="H102" s="4"/>
      <c r="I102" s="4"/>
      <c r="J102" s="4"/>
      <c r="K102" s="4"/>
      <c r="L102" s="4"/>
      <c r="M102" s="4"/>
      <c r="N102" s="4"/>
      <c r="O102" s="4"/>
      <c r="P102" s="4"/>
      <c r="Q102" s="4"/>
      <c r="R102" s="4"/>
      <c r="S102" s="4"/>
      <c r="T102" s="4"/>
      <c r="U102" s="4"/>
      <c r="V102" s="4"/>
      <c r="W102" s="4"/>
      <c r="X102" s="4"/>
      <c r="Y102" s="4"/>
      <c r="Z102" s="1"/>
    </row>
    <row r="103" spans="1:26" ht="13.5" customHeight="1">
      <c r="A103" s="1"/>
      <c r="B103" s="4"/>
      <c r="C103" s="4"/>
      <c r="D103" s="4"/>
      <c r="E103" s="4"/>
      <c r="F103" s="4"/>
      <c r="G103" s="4"/>
      <c r="H103" s="4"/>
      <c r="I103" s="4"/>
      <c r="J103" s="4"/>
      <c r="K103" s="4"/>
      <c r="L103" s="4"/>
      <c r="M103" s="4"/>
      <c r="N103" s="4"/>
      <c r="O103" s="4"/>
      <c r="P103" s="4"/>
      <c r="Q103" s="4"/>
      <c r="R103" s="4"/>
      <c r="S103" s="4"/>
      <c r="T103" s="4"/>
      <c r="U103" s="4"/>
      <c r="V103" s="4"/>
      <c r="W103" s="4"/>
      <c r="X103" s="4"/>
      <c r="Y103" s="4"/>
      <c r="Z103" s="1"/>
    </row>
    <row r="104" spans="1:26" ht="13.5" customHeight="1">
      <c r="A104" s="1"/>
      <c r="B104" s="4"/>
      <c r="C104" s="4"/>
      <c r="D104" s="4"/>
      <c r="E104" s="4"/>
      <c r="F104" s="4"/>
      <c r="G104" s="4"/>
      <c r="H104" s="4"/>
      <c r="I104" s="4"/>
      <c r="J104" s="4"/>
      <c r="K104" s="4"/>
      <c r="L104" s="4"/>
      <c r="M104" s="4"/>
      <c r="N104" s="4"/>
      <c r="O104" s="4"/>
      <c r="P104" s="4"/>
      <c r="Q104" s="4"/>
      <c r="R104" s="4"/>
      <c r="S104" s="4"/>
      <c r="T104" s="4"/>
      <c r="U104" s="4"/>
      <c r="V104" s="4"/>
      <c r="W104" s="4"/>
      <c r="X104" s="4"/>
      <c r="Y104" s="4"/>
      <c r="Z104" s="1"/>
    </row>
    <row r="105" spans="1:26" ht="13.5" customHeight="1">
      <c r="A105" s="1"/>
      <c r="B105" s="4"/>
      <c r="C105" s="4"/>
      <c r="D105" s="4"/>
      <c r="E105" s="4"/>
      <c r="F105" s="4"/>
      <c r="G105" s="4"/>
      <c r="H105" s="4"/>
      <c r="I105" s="4"/>
      <c r="J105" s="4"/>
      <c r="K105" s="4"/>
      <c r="L105" s="4"/>
      <c r="M105" s="4"/>
      <c r="N105" s="4"/>
      <c r="O105" s="4"/>
      <c r="P105" s="4"/>
      <c r="Q105" s="4"/>
      <c r="R105" s="4"/>
      <c r="S105" s="4"/>
      <c r="T105" s="4"/>
      <c r="U105" s="4"/>
      <c r="V105" s="4"/>
      <c r="W105" s="4"/>
      <c r="X105" s="4"/>
      <c r="Y105" s="4"/>
      <c r="Z105" s="1"/>
    </row>
    <row r="106" spans="1:26" ht="13.5" customHeight="1">
      <c r="A106" s="1"/>
      <c r="B106" s="4"/>
      <c r="C106" s="4"/>
      <c r="D106" s="4"/>
      <c r="E106" s="4"/>
      <c r="F106" s="4"/>
      <c r="G106" s="4"/>
      <c r="H106" s="4"/>
      <c r="I106" s="4"/>
      <c r="J106" s="4"/>
      <c r="K106" s="4"/>
      <c r="L106" s="4"/>
      <c r="M106" s="4"/>
      <c r="N106" s="4"/>
      <c r="O106" s="4"/>
      <c r="P106" s="4"/>
      <c r="Q106" s="4"/>
      <c r="R106" s="4"/>
      <c r="S106" s="4"/>
      <c r="T106" s="4"/>
      <c r="U106" s="4"/>
      <c r="V106" s="4"/>
      <c r="W106" s="4"/>
      <c r="X106" s="4"/>
      <c r="Y106" s="4"/>
      <c r="Z106" s="1"/>
    </row>
    <row r="107" spans="1:26" ht="13.5" customHeight="1">
      <c r="A107" s="1"/>
      <c r="B107" s="4"/>
      <c r="C107" s="4"/>
      <c r="D107" s="4"/>
      <c r="E107" s="4"/>
      <c r="F107" s="4"/>
      <c r="G107" s="4"/>
      <c r="H107" s="4"/>
      <c r="I107" s="4"/>
      <c r="J107" s="4"/>
      <c r="K107" s="4"/>
      <c r="L107" s="4"/>
      <c r="M107" s="4"/>
      <c r="N107" s="4"/>
      <c r="O107" s="4"/>
      <c r="P107" s="4"/>
      <c r="Q107" s="4"/>
      <c r="R107" s="4"/>
      <c r="S107" s="4"/>
      <c r="T107" s="4"/>
      <c r="U107" s="4"/>
      <c r="V107" s="4"/>
      <c r="W107" s="4"/>
      <c r="X107" s="4"/>
      <c r="Y107" s="4"/>
      <c r="Z107" s="1"/>
    </row>
    <row r="108" spans="1:26" ht="13.5" customHeight="1">
      <c r="A108" s="1"/>
      <c r="B108" s="4"/>
      <c r="C108" s="4"/>
      <c r="D108" s="4"/>
      <c r="E108" s="4"/>
      <c r="F108" s="4"/>
      <c r="G108" s="4"/>
      <c r="H108" s="4"/>
      <c r="I108" s="4"/>
      <c r="J108" s="4"/>
      <c r="K108" s="4"/>
      <c r="L108" s="4"/>
      <c r="M108" s="4"/>
      <c r="N108" s="4"/>
      <c r="O108" s="4"/>
      <c r="P108" s="4"/>
      <c r="Q108" s="4"/>
      <c r="R108" s="4"/>
      <c r="S108" s="4"/>
      <c r="T108" s="4"/>
      <c r="U108" s="4"/>
      <c r="V108" s="4"/>
      <c r="W108" s="4"/>
      <c r="X108" s="4"/>
      <c r="Y108" s="4"/>
      <c r="Z108" s="1"/>
    </row>
    <row r="109" spans="1:26" ht="13.5" customHeight="1">
      <c r="A109" s="1"/>
      <c r="B109" s="4"/>
      <c r="C109" s="4"/>
      <c r="D109" s="4"/>
      <c r="E109" s="4"/>
      <c r="F109" s="4"/>
      <c r="G109" s="4"/>
      <c r="H109" s="4"/>
      <c r="I109" s="4"/>
      <c r="J109" s="4"/>
      <c r="K109" s="4"/>
      <c r="L109" s="4"/>
      <c r="M109" s="4"/>
      <c r="N109" s="4"/>
      <c r="O109" s="4"/>
      <c r="P109" s="4"/>
      <c r="Q109" s="4"/>
      <c r="R109" s="4"/>
      <c r="S109" s="4"/>
      <c r="T109" s="4"/>
      <c r="U109" s="4"/>
      <c r="V109" s="4"/>
      <c r="W109" s="4"/>
      <c r="X109" s="4"/>
      <c r="Y109" s="4"/>
      <c r="Z109" s="1"/>
    </row>
    <row r="110" spans="1:26" ht="13.5" customHeight="1">
      <c r="A110" s="1"/>
      <c r="B110" s="4"/>
      <c r="C110" s="4"/>
      <c r="D110" s="4"/>
      <c r="E110" s="4"/>
      <c r="F110" s="4"/>
      <c r="G110" s="4"/>
      <c r="H110" s="4"/>
      <c r="I110" s="4"/>
      <c r="J110" s="4"/>
      <c r="K110" s="4"/>
      <c r="L110" s="4"/>
      <c r="M110" s="4"/>
      <c r="N110" s="4"/>
      <c r="O110" s="4"/>
      <c r="P110" s="4"/>
      <c r="Q110" s="4"/>
      <c r="R110" s="4"/>
      <c r="S110" s="4"/>
      <c r="T110" s="4"/>
      <c r="U110" s="4"/>
      <c r="V110" s="4"/>
      <c r="W110" s="4"/>
      <c r="X110" s="4"/>
      <c r="Y110" s="4"/>
      <c r="Z110" s="1"/>
    </row>
    <row r="111" spans="1:26" ht="13.5" customHeight="1">
      <c r="A111" s="1"/>
      <c r="B111" s="4"/>
      <c r="C111" s="4"/>
      <c r="D111" s="4"/>
      <c r="E111" s="4"/>
      <c r="F111" s="4"/>
      <c r="G111" s="4"/>
      <c r="H111" s="4"/>
      <c r="I111" s="4"/>
      <c r="J111" s="4"/>
      <c r="K111" s="4"/>
      <c r="L111" s="4"/>
      <c r="M111" s="4"/>
      <c r="N111" s="4"/>
      <c r="O111" s="4"/>
      <c r="P111" s="4"/>
      <c r="Q111" s="4"/>
      <c r="R111" s="4"/>
      <c r="S111" s="4"/>
      <c r="T111" s="4"/>
      <c r="U111" s="4"/>
      <c r="V111" s="4"/>
      <c r="W111" s="4"/>
      <c r="X111" s="4"/>
      <c r="Y111" s="4"/>
      <c r="Z111" s="1"/>
    </row>
    <row r="112" spans="1:26" ht="13.5" customHeight="1">
      <c r="A112" s="1"/>
      <c r="B112" s="4"/>
      <c r="C112" s="4"/>
      <c r="D112" s="4"/>
      <c r="E112" s="4"/>
      <c r="F112" s="4"/>
      <c r="G112" s="4"/>
      <c r="H112" s="4"/>
      <c r="I112" s="4"/>
      <c r="J112" s="4"/>
      <c r="K112" s="4"/>
      <c r="L112" s="4"/>
      <c r="M112" s="4"/>
      <c r="N112" s="4"/>
      <c r="O112" s="4"/>
      <c r="P112" s="4"/>
      <c r="Q112" s="4"/>
      <c r="R112" s="4"/>
      <c r="S112" s="4"/>
      <c r="T112" s="4"/>
      <c r="U112" s="4"/>
      <c r="V112" s="4"/>
      <c r="W112" s="4"/>
      <c r="X112" s="4"/>
      <c r="Y112" s="4"/>
      <c r="Z112" s="1"/>
    </row>
    <row r="113" spans="1:26" ht="13.5" customHeight="1">
      <c r="A113" s="1"/>
      <c r="B113" s="4"/>
      <c r="C113" s="4"/>
      <c r="D113" s="4"/>
      <c r="E113" s="4"/>
      <c r="F113" s="4"/>
      <c r="G113" s="4"/>
      <c r="H113" s="4"/>
      <c r="I113" s="4"/>
      <c r="J113" s="4"/>
      <c r="K113" s="4"/>
      <c r="L113" s="4"/>
      <c r="M113" s="4"/>
      <c r="N113" s="4"/>
      <c r="O113" s="4"/>
      <c r="P113" s="4"/>
      <c r="Q113" s="4"/>
      <c r="R113" s="4"/>
      <c r="S113" s="4"/>
      <c r="T113" s="4"/>
      <c r="U113" s="4"/>
      <c r="V113" s="4"/>
      <c r="W113" s="4"/>
      <c r="X113" s="4"/>
      <c r="Y113" s="4"/>
      <c r="Z113" s="1"/>
    </row>
    <row r="114" spans="1:26" ht="13.5" customHeight="1">
      <c r="A114" s="1"/>
      <c r="B114" s="4"/>
      <c r="C114" s="4"/>
      <c r="D114" s="4"/>
      <c r="E114" s="4"/>
      <c r="F114" s="4"/>
      <c r="G114" s="4"/>
      <c r="H114" s="4"/>
      <c r="I114" s="4"/>
      <c r="J114" s="4"/>
      <c r="K114" s="4"/>
      <c r="L114" s="4"/>
      <c r="M114" s="4"/>
      <c r="N114" s="4"/>
      <c r="O114" s="4"/>
      <c r="P114" s="4"/>
      <c r="Q114" s="4"/>
      <c r="R114" s="4"/>
      <c r="S114" s="4"/>
      <c r="T114" s="4"/>
      <c r="U114" s="4"/>
      <c r="V114" s="4"/>
      <c r="W114" s="4"/>
      <c r="X114" s="4"/>
      <c r="Y114" s="4"/>
      <c r="Z114" s="1"/>
    </row>
    <row r="115" spans="1:26" ht="13.5" customHeight="1">
      <c r="A115" s="1"/>
      <c r="B115" s="4"/>
      <c r="C115" s="4"/>
      <c r="D115" s="4"/>
      <c r="E115" s="4"/>
      <c r="F115" s="4"/>
      <c r="G115" s="4"/>
      <c r="H115" s="4"/>
      <c r="I115" s="4"/>
      <c r="J115" s="4"/>
      <c r="K115" s="4"/>
      <c r="L115" s="4"/>
      <c r="M115" s="4"/>
      <c r="N115" s="4"/>
      <c r="O115" s="4"/>
      <c r="P115" s="4"/>
      <c r="Q115" s="4"/>
      <c r="R115" s="4"/>
      <c r="S115" s="4"/>
      <c r="T115" s="4"/>
      <c r="U115" s="4"/>
      <c r="V115" s="4"/>
      <c r="W115" s="4"/>
      <c r="X115" s="4"/>
      <c r="Y115" s="4"/>
      <c r="Z115" s="1"/>
    </row>
    <row r="116" spans="1:26" ht="13.5" customHeight="1">
      <c r="A116" s="1"/>
      <c r="B116" s="4"/>
      <c r="C116" s="4"/>
      <c r="D116" s="4"/>
      <c r="E116" s="4"/>
      <c r="F116" s="4"/>
      <c r="G116" s="4"/>
      <c r="H116" s="4"/>
      <c r="I116" s="4"/>
      <c r="J116" s="4"/>
      <c r="K116" s="4"/>
      <c r="L116" s="4"/>
      <c r="M116" s="4"/>
      <c r="N116" s="4"/>
      <c r="O116" s="4"/>
      <c r="P116" s="4"/>
      <c r="Q116" s="4"/>
      <c r="R116" s="4"/>
      <c r="S116" s="4"/>
      <c r="T116" s="4"/>
      <c r="U116" s="4"/>
      <c r="V116" s="4"/>
      <c r="W116" s="4"/>
      <c r="X116" s="4"/>
      <c r="Y116" s="4"/>
      <c r="Z116" s="1"/>
    </row>
    <row r="117" spans="1:26" ht="13.5" customHeight="1">
      <c r="A117" s="1"/>
      <c r="B117" s="4"/>
      <c r="C117" s="4"/>
      <c r="D117" s="4"/>
      <c r="E117" s="4"/>
      <c r="F117" s="4"/>
      <c r="G117" s="4"/>
      <c r="H117" s="4"/>
      <c r="I117" s="4"/>
      <c r="J117" s="4"/>
      <c r="K117" s="4"/>
      <c r="L117" s="4"/>
      <c r="M117" s="4"/>
      <c r="N117" s="4"/>
      <c r="O117" s="4"/>
      <c r="P117" s="4"/>
      <c r="Q117" s="4"/>
      <c r="R117" s="4"/>
      <c r="S117" s="4"/>
      <c r="T117" s="4"/>
      <c r="U117" s="4"/>
      <c r="V117" s="4"/>
      <c r="W117" s="4"/>
      <c r="X117" s="4"/>
      <c r="Y117" s="4"/>
      <c r="Z117" s="1"/>
    </row>
    <row r="118" spans="1:26" ht="13.5" customHeight="1">
      <c r="A118" s="1"/>
      <c r="B118" s="4"/>
      <c r="C118" s="4"/>
      <c r="D118" s="4"/>
      <c r="E118" s="4"/>
      <c r="F118" s="4"/>
      <c r="G118" s="4"/>
      <c r="H118" s="4"/>
      <c r="I118" s="4"/>
      <c r="J118" s="4"/>
      <c r="K118" s="4"/>
      <c r="L118" s="4"/>
      <c r="M118" s="4"/>
      <c r="N118" s="4"/>
      <c r="O118" s="4"/>
      <c r="P118" s="4"/>
      <c r="Q118" s="4"/>
      <c r="R118" s="4"/>
      <c r="S118" s="4"/>
      <c r="T118" s="4"/>
      <c r="U118" s="4"/>
      <c r="V118" s="4"/>
      <c r="W118" s="4"/>
      <c r="X118" s="4"/>
      <c r="Y118" s="4"/>
      <c r="Z118" s="1"/>
    </row>
    <row r="119" spans="1:26" ht="13.5" customHeight="1">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1"/>
    </row>
    <row r="120" spans="1:26" ht="13.5" customHeight="1">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1"/>
    </row>
    <row r="121" spans="1:26" ht="13.5" customHeight="1">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1"/>
    </row>
    <row r="122" spans="1:26" ht="13.5" customHeight="1">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1"/>
    </row>
    <row r="123" spans="1:26" ht="13.5" customHeight="1">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1"/>
    </row>
    <row r="124" spans="1:26" ht="13.5" customHeight="1">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1"/>
    </row>
    <row r="125" spans="1:26" ht="13.5" customHeight="1">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1"/>
    </row>
    <row r="126" spans="1:26" ht="13.5" customHeight="1">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1"/>
    </row>
    <row r="127" spans="1:26" ht="13.5" customHeight="1">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1"/>
    </row>
    <row r="128" spans="1:26" ht="13.5" customHeight="1">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1"/>
    </row>
    <row r="129" spans="1:26" ht="13.5" customHeight="1">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1"/>
    </row>
    <row r="130" spans="1:26" ht="13.5" customHeight="1">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1"/>
    </row>
    <row r="131" spans="1:26" ht="13.5" customHeight="1">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1"/>
    </row>
    <row r="132" spans="1:26" ht="13.5" customHeight="1">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1"/>
    </row>
    <row r="133" spans="1:26" ht="13.5" customHeight="1">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1"/>
    </row>
    <row r="134" spans="1:26" ht="13.5" customHeight="1">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1"/>
    </row>
    <row r="135" spans="1:26" ht="13.5" customHeight="1">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1"/>
    </row>
    <row r="136" spans="1:26" ht="13.5" customHeight="1">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1"/>
    </row>
    <row r="137" spans="1:26" ht="13.5" customHeight="1">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1"/>
    </row>
    <row r="138" spans="1:26" ht="13.5" customHeight="1">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1"/>
    </row>
    <row r="139" spans="1:26" ht="13.5" customHeight="1">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1"/>
    </row>
    <row r="140" spans="1:26" ht="13.5" customHeight="1">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1"/>
    </row>
    <row r="141" spans="1:26" ht="13.5" customHeight="1">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1"/>
    </row>
    <row r="142" spans="1:26" ht="13.5" customHeight="1">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1"/>
    </row>
    <row r="143" spans="1:26" ht="13.5" customHeight="1">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1"/>
    </row>
    <row r="144" spans="1:26" ht="13.5" customHeight="1">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1"/>
    </row>
    <row r="145" spans="1:26" ht="13.5" customHeight="1">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1"/>
    </row>
    <row r="146" spans="1:26" ht="13.5" customHeight="1">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1"/>
    </row>
    <row r="147" spans="1:26" ht="13.5" customHeight="1">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1"/>
    </row>
    <row r="148" spans="1:26" ht="13.5" customHeight="1">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1"/>
    </row>
    <row r="149" spans="1:26" ht="13.5" customHeight="1">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1"/>
    </row>
    <row r="150" spans="1:26" ht="13.5" customHeight="1">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1"/>
    </row>
    <row r="151" spans="1:26" ht="13.5" customHeight="1">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1"/>
    </row>
    <row r="152" spans="1:26" ht="13.5" customHeight="1">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1"/>
    </row>
    <row r="153" spans="1:26" ht="13.5" customHeight="1">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1"/>
    </row>
    <row r="154" spans="1:26" ht="13.5" customHeight="1">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1"/>
    </row>
    <row r="155" spans="1:26" ht="13.5" customHeight="1">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1"/>
    </row>
    <row r="156" spans="1:26" ht="13.5" customHeight="1">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1"/>
    </row>
    <row r="157" spans="1:26" ht="13.5" customHeight="1">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1"/>
    </row>
    <row r="158" spans="1:26" ht="13.5" customHeight="1">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1"/>
    </row>
    <row r="159" spans="1:26" ht="13.5" customHeight="1">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1"/>
    </row>
    <row r="160" spans="1:26" ht="13.5" customHeight="1">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1"/>
    </row>
    <row r="161" spans="1:26" ht="13.5" customHeight="1">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1"/>
    </row>
    <row r="162" spans="1:26" ht="13.5" customHeight="1">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1"/>
    </row>
    <row r="163" spans="1:26" ht="13.5" customHeight="1">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1"/>
    </row>
    <row r="164" spans="1:26" ht="13.5" customHeight="1">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1"/>
    </row>
    <row r="165" spans="1:26" ht="13.5" customHeight="1">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1"/>
    </row>
    <row r="166" spans="1:26" ht="13.5" customHeight="1">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1"/>
    </row>
    <row r="167" spans="1:26" ht="13.5" customHeight="1">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1"/>
    </row>
    <row r="168" spans="1:26" ht="13.5" customHeight="1">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1"/>
    </row>
    <row r="169" spans="1:26" ht="13.5" customHeight="1">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1"/>
    </row>
    <row r="170" spans="1:26" ht="13.5" customHeight="1">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1"/>
    </row>
    <row r="171" spans="1:26" ht="13.5" customHeight="1">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1"/>
    </row>
    <row r="172" spans="1:26" ht="13.5" customHeight="1">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1"/>
    </row>
    <row r="173" spans="1:26" ht="13.5" customHeight="1">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1"/>
    </row>
    <row r="174" spans="1:26" ht="13.5" customHeight="1">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1"/>
    </row>
    <row r="175" spans="1:26" ht="13.5" customHeight="1">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1"/>
    </row>
    <row r="176" spans="1:26" ht="13.5" customHeight="1">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1"/>
    </row>
    <row r="177" spans="1:26" ht="13.5" customHeight="1">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1"/>
    </row>
    <row r="178" spans="1:26" ht="13.5" customHeight="1">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1"/>
    </row>
    <row r="179" spans="1:26" ht="13.5" customHeight="1">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1"/>
    </row>
    <row r="180" spans="1:26" ht="13.5" customHeight="1">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1"/>
    </row>
    <row r="181" spans="1:26" ht="13.5" customHeight="1">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1"/>
    </row>
    <row r="182" spans="1:26" ht="13.5" customHeight="1">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1"/>
    </row>
    <row r="183" spans="1:26" ht="13.5" customHeight="1">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1"/>
    </row>
    <row r="184" spans="1:26" ht="13.5" customHeight="1">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1"/>
    </row>
    <row r="185" spans="1:26" ht="13.5" customHeight="1">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1"/>
    </row>
    <row r="186" spans="1:26" ht="13.5" customHeight="1">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1"/>
    </row>
    <row r="187" spans="1:26" ht="13.5" customHeight="1">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1"/>
    </row>
    <row r="188" spans="1:26" ht="13.5" customHeight="1">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1"/>
    </row>
    <row r="189" spans="1:26" ht="13.5" customHeight="1">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1"/>
    </row>
    <row r="190" spans="1:26" ht="13.5" customHeight="1">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1"/>
    </row>
    <row r="191" spans="1:26" ht="13.5" customHeight="1">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1"/>
    </row>
    <row r="192" spans="1:26" ht="13.5" customHeight="1">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1"/>
    </row>
    <row r="193" spans="1:26" ht="13.5" customHeight="1">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1"/>
    </row>
    <row r="194" spans="1:26" ht="13.5" customHeight="1">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1"/>
    </row>
    <row r="195" spans="1:26" ht="13.5" customHeight="1">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1"/>
    </row>
    <row r="196" spans="1:26" ht="13.5" customHeight="1">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1"/>
    </row>
    <row r="197" spans="1:26" ht="13.5" customHeight="1">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1"/>
    </row>
    <row r="198" spans="1:26" ht="13.5" customHeight="1">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1"/>
    </row>
    <row r="199" spans="1:26" ht="13.5" customHeight="1">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1"/>
    </row>
    <row r="200" spans="1:26" ht="13.5" customHeight="1">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1"/>
    </row>
    <row r="201" spans="1:26" ht="13.5" customHeight="1">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1"/>
    </row>
    <row r="202" spans="1:26" ht="13.5" customHeight="1">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1"/>
    </row>
    <row r="203" spans="1:26" ht="13.5" customHeight="1">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1"/>
    </row>
    <row r="204" spans="1:26" ht="13.5" customHeight="1">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1"/>
    </row>
    <row r="205" spans="1:26" ht="13.5" customHeight="1">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1"/>
    </row>
    <row r="206" spans="1:26" ht="13.5" customHeight="1">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1"/>
    </row>
    <row r="207" spans="1:26" ht="13.5" customHeight="1">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1"/>
    </row>
    <row r="208" spans="1:26" ht="13.5" customHeight="1">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1"/>
    </row>
    <row r="209" spans="1:26" ht="13.5" customHeight="1">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1"/>
    </row>
    <row r="210" spans="1:26" ht="13.5" customHeight="1">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1"/>
    </row>
    <row r="211" spans="1:26" ht="13.5" customHeight="1">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1"/>
    </row>
    <row r="212" spans="1:26" ht="13.5" customHeight="1">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1"/>
    </row>
    <row r="213" spans="1:26" ht="13.5" customHeight="1">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1"/>
    </row>
    <row r="214" spans="1:26" ht="13.5" customHeight="1">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1"/>
    </row>
    <row r="215" spans="1:26" ht="13.5" customHeight="1">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1"/>
    </row>
    <row r="216" spans="1:26" ht="13.5" customHeight="1">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1"/>
    </row>
    <row r="217" spans="1:26" ht="13.5" customHeight="1">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1"/>
    </row>
    <row r="218" spans="1:26" ht="13.5" customHeight="1">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1"/>
    </row>
    <row r="219" spans="1:26" ht="13.5" customHeight="1">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1"/>
    </row>
    <row r="220" spans="1:26" ht="13.5" customHeight="1">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C3"/>
    <mergeCell ref="E2:F3"/>
    <mergeCell ref="H2:I3"/>
    <mergeCell ref="K2:L3"/>
    <mergeCell ref="N2:O3"/>
  </mergeCells>
  <pageMargins left="0.7" right="0.7" top="0.75" bottom="0.75" header="0" footer="0"/>
  <pageSetup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selection activeCell="C5" sqref="C5"/>
    </sheetView>
  </sheetViews>
  <sheetFormatPr defaultColWidth="12.6640625" defaultRowHeight="15" customHeight="1"/>
  <cols>
    <col min="1" max="1" width="10.77734375" customWidth="1"/>
    <col min="2" max="2" width="18.33203125" customWidth="1"/>
    <col min="3" max="3" width="22.109375" customWidth="1"/>
    <col min="4" max="4" width="13.33203125" customWidth="1"/>
    <col min="5" max="5" width="13.109375" customWidth="1"/>
    <col min="6" max="6" width="12.77734375" bestFit="1" customWidth="1"/>
    <col min="7" max="7" width="10.77734375" customWidth="1"/>
    <col min="8" max="8" width="16.33203125" customWidth="1"/>
    <col min="9" max="9" width="18.109375" customWidth="1"/>
    <col min="10" max="10" width="19.77734375" customWidth="1"/>
    <col min="11" max="11" width="18.6640625" customWidth="1"/>
    <col min="12" max="12" width="10.77734375" customWidth="1"/>
    <col min="13" max="13" width="35" customWidth="1"/>
    <col min="14" max="15" width="10.77734375" customWidth="1"/>
    <col min="16" max="16" width="20.33203125" customWidth="1"/>
    <col min="17" max="26" width="10.6640625" customWidth="1"/>
  </cols>
  <sheetData>
    <row r="1" spans="1:26" ht="13.5" customHeight="1">
      <c r="A1" s="23"/>
      <c r="B1" s="23"/>
      <c r="C1" s="23"/>
      <c r="D1" s="23"/>
      <c r="E1" s="23"/>
      <c r="F1" s="23"/>
      <c r="G1" s="23"/>
      <c r="H1" s="23"/>
      <c r="I1" s="23"/>
      <c r="J1" s="23"/>
      <c r="K1" s="23"/>
      <c r="L1" s="23"/>
      <c r="M1" s="23"/>
      <c r="N1" s="23"/>
      <c r="O1" s="23"/>
      <c r="P1" s="23"/>
      <c r="Q1" s="23"/>
      <c r="R1" s="23"/>
      <c r="S1" s="23"/>
      <c r="T1" s="23"/>
      <c r="U1" s="23"/>
      <c r="V1" s="23"/>
      <c r="W1" s="23"/>
      <c r="X1" s="23"/>
      <c r="Y1" s="23"/>
      <c r="Z1" s="23"/>
    </row>
    <row r="2" spans="1:26" ht="13.5" customHeight="1">
      <c r="A2" s="23"/>
      <c r="B2" s="23"/>
      <c r="C2" s="23"/>
      <c r="D2" s="23"/>
      <c r="E2" s="23"/>
      <c r="F2" s="23"/>
      <c r="G2" s="23"/>
      <c r="H2" s="23"/>
      <c r="I2" s="23"/>
      <c r="J2" s="23"/>
      <c r="K2" s="23"/>
      <c r="L2" s="23"/>
      <c r="M2" s="23"/>
      <c r="N2" s="23"/>
      <c r="O2" s="23"/>
      <c r="P2" s="23"/>
      <c r="Q2" s="23"/>
      <c r="R2" s="23"/>
      <c r="S2" s="23"/>
      <c r="T2" s="23"/>
      <c r="U2" s="23"/>
      <c r="V2" s="23"/>
      <c r="W2" s="23"/>
      <c r="X2" s="23"/>
      <c r="Y2" s="23"/>
      <c r="Z2" s="23"/>
    </row>
    <row r="3" spans="1:26" ht="35.25" customHeight="1">
      <c r="A3" s="23"/>
      <c r="B3" s="273" t="s">
        <v>41</v>
      </c>
      <c r="C3" s="257"/>
      <c r="D3" s="257"/>
      <c r="E3" s="257"/>
      <c r="F3" s="23"/>
      <c r="G3" s="23"/>
      <c r="H3" s="273" t="s">
        <v>42</v>
      </c>
      <c r="I3" s="257"/>
      <c r="J3" s="257"/>
      <c r="K3" s="257"/>
      <c r="L3" s="23"/>
      <c r="M3" s="23"/>
      <c r="N3" s="23"/>
      <c r="O3" s="23"/>
      <c r="P3" s="23"/>
      <c r="Q3" s="23"/>
      <c r="R3" s="23"/>
      <c r="S3" s="23"/>
      <c r="T3" s="23"/>
      <c r="U3" s="23"/>
      <c r="V3" s="23"/>
      <c r="W3" s="23"/>
      <c r="X3" s="23"/>
      <c r="Y3" s="23"/>
      <c r="Z3" s="23"/>
    </row>
    <row r="4" spans="1:26" ht="21" customHeight="1">
      <c r="A4" s="23"/>
      <c r="B4" s="24" t="s">
        <v>43</v>
      </c>
      <c r="C4" s="24" t="s">
        <v>44</v>
      </c>
      <c r="D4" s="24" t="s">
        <v>45</v>
      </c>
      <c r="E4" s="24" t="s">
        <v>46</v>
      </c>
      <c r="F4" s="23"/>
      <c r="G4" s="23"/>
      <c r="H4" s="24" t="s">
        <v>47</v>
      </c>
      <c r="I4" s="24" t="s">
        <v>48</v>
      </c>
      <c r="J4" s="24" t="s">
        <v>49</v>
      </c>
      <c r="K4" s="24" t="s">
        <v>50</v>
      </c>
      <c r="L4" s="23"/>
      <c r="M4" s="25" t="s">
        <v>51</v>
      </c>
      <c r="N4" s="26"/>
      <c r="O4" s="26"/>
      <c r="P4" s="27"/>
      <c r="Q4" s="23"/>
      <c r="R4" s="23"/>
      <c r="S4" s="23"/>
      <c r="T4" s="23"/>
      <c r="U4" s="23"/>
      <c r="V4" s="23"/>
      <c r="W4" s="23"/>
      <c r="X4" s="23"/>
      <c r="Y4" s="23"/>
      <c r="Z4" s="23"/>
    </row>
    <row r="5" spans="1:26" ht="21" customHeight="1">
      <c r="A5" s="23"/>
      <c r="B5" s="28" t="s">
        <v>164</v>
      </c>
      <c r="C5" s="28">
        <f>MAX('Data '!F:F)</f>
        <v>2320675</v>
      </c>
      <c r="D5" s="28">
        <f>AVERAGE('Data '!F:F)</f>
        <v>173300.20141576568</v>
      </c>
      <c r="E5" s="28">
        <f>MEDIAN('Data '!F:F)</f>
        <v>113770.8</v>
      </c>
      <c r="F5" s="23"/>
      <c r="G5" s="23"/>
      <c r="H5" s="28">
        <f>MIN('Data '!J:J)*1000</f>
        <v>0</v>
      </c>
      <c r="I5" s="28">
        <f>MAX('Data '!J:J)*1000</f>
        <v>3460092</v>
      </c>
      <c r="J5" s="28">
        <f>AVERAGE('Data '!J:J)*1000</f>
        <v>1039224.5537262579</v>
      </c>
      <c r="K5" s="28">
        <f>MEDIAN('Data '!J:J)*1000</f>
        <v>991388.76572308701</v>
      </c>
      <c r="L5" s="23"/>
      <c r="M5" s="29" t="s">
        <v>52</v>
      </c>
      <c r="N5" s="30"/>
      <c r="O5" s="30"/>
      <c r="P5" s="31"/>
      <c r="Q5" s="23"/>
      <c r="R5" s="23"/>
      <c r="S5" s="23"/>
      <c r="T5" s="23"/>
      <c r="U5" s="23"/>
      <c r="V5" s="23"/>
      <c r="W5" s="23"/>
      <c r="X5" s="23"/>
      <c r="Y5" s="23"/>
      <c r="Z5" s="23"/>
    </row>
    <row r="6" spans="1:26" ht="21" customHeight="1">
      <c r="A6" s="23"/>
      <c r="B6" s="32"/>
      <c r="C6" s="32"/>
      <c r="D6" s="32"/>
      <c r="E6" s="32"/>
      <c r="F6" s="23"/>
      <c r="G6" s="23"/>
      <c r="H6" s="32"/>
      <c r="I6" s="32"/>
      <c r="J6" s="32"/>
      <c r="K6" s="32"/>
      <c r="L6" s="23"/>
      <c r="M6" s="29" t="s">
        <v>53</v>
      </c>
      <c r="N6" s="30"/>
      <c r="O6" s="30"/>
      <c r="P6" s="31"/>
      <c r="Q6" s="23"/>
      <c r="R6" s="23"/>
      <c r="S6" s="23"/>
      <c r="T6" s="23"/>
      <c r="U6" s="23"/>
      <c r="V6" s="23"/>
      <c r="W6" s="23"/>
      <c r="X6" s="23"/>
      <c r="Y6" s="23"/>
      <c r="Z6" s="23"/>
    </row>
    <row r="7" spans="1:26" ht="21" customHeight="1">
      <c r="A7" s="23"/>
      <c r="B7" s="266" t="s">
        <v>0</v>
      </c>
      <c r="C7" s="255"/>
      <c r="D7" s="266" t="s">
        <v>54</v>
      </c>
      <c r="E7" s="255"/>
      <c r="F7" s="23"/>
      <c r="G7" s="23"/>
      <c r="H7" s="266" t="s">
        <v>55</v>
      </c>
      <c r="I7" s="255"/>
      <c r="J7" s="266" t="s">
        <v>54</v>
      </c>
      <c r="K7" s="255"/>
      <c r="L7" s="23"/>
      <c r="M7" s="29" t="s">
        <v>56</v>
      </c>
      <c r="N7" s="30"/>
      <c r="O7" s="30"/>
      <c r="P7" s="31"/>
      <c r="Q7" s="23"/>
      <c r="R7" s="23"/>
      <c r="S7" s="23"/>
      <c r="T7" s="23"/>
      <c r="U7" s="23"/>
      <c r="V7" s="23"/>
      <c r="W7" s="23"/>
      <c r="X7" s="23"/>
      <c r="Y7" s="23"/>
      <c r="Z7" s="23"/>
    </row>
    <row r="8" spans="1:26" ht="21" customHeight="1">
      <c r="A8" s="23"/>
      <c r="B8" s="33" t="s">
        <v>57</v>
      </c>
      <c r="C8" s="34">
        <v>4</v>
      </c>
      <c r="D8" s="265">
        <f>C8*E5</f>
        <v>455083.2</v>
      </c>
      <c r="E8" s="255"/>
      <c r="F8" s="23"/>
      <c r="G8" s="23"/>
      <c r="H8" s="33" t="s">
        <v>57</v>
      </c>
      <c r="I8" s="35">
        <v>1000</v>
      </c>
      <c r="J8" s="36">
        <f>I8*(AVERAGE('Data '!J2:J314))</f>
        <v>1053436.8804681792</v>
      </c>
      <c r="K8" s="37"/>
      <c r="L8" s="23"/>
      <c r="M8" s="29" t="s">
        <v>58</v>
      </c>
      <c r="N8" s="30"/>
      <c r="O8" s="30"/>
      <c r="P8" s="31"/>
      <c r="Q8" s="23"/>
      <c r="R8" s="23"/>
      <c r="S8" s="23"/>
      <c r="T8" s="23"/>
      <c r="U8" s="23"/>
      <c r="V8" s="23"/>
      <c r="W8" s="23"/>
      <c r="X8" s="23"/>
      <c r="Y8" s="23"/>
      <c r="Z8" s="23"/>
    </row>
    <row r="9" spans="1:26" ht="21" customHeight="1">
      <c r="A9" s="23"/>
      <c r="B9" s="23"/>
      <c r="C9" s="23"/>
      <c r="D9" s="23"/>
      <c r="E9" s="23"/>
      <c r="F9" s="23"/>
      <c r="G9" s="23"/>
      <c r="H9" s="23"/>
      <c r="I9" s="23"/>
      <c r="J9" s="23"/>
      <c r="K9" s="23"/>
      <c r="L9" s="23"/>
      <c r="M9" s="38" t="s">
        <v>59</v>
      </c>
      <c r="N9" s="30"/>
      <c r="O9" s="30"/>
      <c r="P9" s="31"/>
      <c r="Q9" s="23"/>
      <c r="R9" s="23"/>
      <c r="S9" s="23"/>
      <c r="T9" s="23"/>
      <c r="U9" s="23"/>
      <c r="V9" s="23"/>
      <c r="W9" s="23"/>
      <c r="X9" s="23"/>
      <c r="Y9" s="23"/>
      <c r="Z9" s="23"/>
    </row>
    <row r="10" spans="1:26" ht="21" customHeight="1">
      <c r="A10" s="23"/>
      <c r="B10" s="23"/>
      <c r="C10" s="23"/>
      <c r="D10" s="23"/>
      <c r="E10" s="23"/>
      <c r="F10" s="23"/>
      <c r="G10" s="23"/>
      <c r="H10" s="23"/>
      <c r="I10" s="23"/>
      <c r="J10" s="23"/>
      <c r="K10" s="23"/>
      <c r="L10" s="23"/>
      <c r="M10" s="39"/>
      <c r="N10" s="30"/>
      <c r="O10" s="30"/>
      <c r="P10" s="31"/>
      <c r="Q10" s="23"/>
      <c r="R10" s="23"/>
      <c r="S10" s="23"/>
      <c r="T10" s="23"/>
      <c r="U10" s="23"/>
      <c r="V10" s="23"/>
      <c r="W10" s="23"/>
      <c r="X10" s="23"/>
      <c r="Y10" s="23"/>
      <c r="Z10" s="23"/>
    </row>
    <row r="11" spans="1:26" ht="31.5" customHeight="1">
      <c r="A11" s="23"/>
      <c r="B11" s="273" t="s">
        <v>60</v>
      </c>
      <c r="C11" s="257"/>
      <c r="D11" s="257"/>
      <c r="E11" s="257"/>
      <c r="F11" s="23"/>
      <c r="G11" s="23"/>
      <c r="H11" s="273" t="s">
        <v>61</v>
      </c>
      <c r="I11" s="257"/>
      <c r="J11" s="257"/>
      <c r="K11" s="257"/>
      <c r="L11" s="23"/>
      <c r="M11" s="39"/>
      <c r="N11" s="30"/>
      <c r="O11" s="30"/>
      <c r="P11" s="31"/>
      <c r="Q11" s="23"/>
      <c r="R11" s="23"/>
      <c r="S11" s="23"/>
      <c r="T11" s="23"/>
      <c r="U11" s="23"/>
      <c r="V11" s="23"/>
      <c r="W11" s="23"/>
      <c r="X11" s="23"/>
      <c r="Y11" s="23"/>
      <c r="Z11" s="23"/>
    </row>
    <row r="12" spans="1:26" ht="21" customHeight="1">
      <c r="A12" s="23"/>
      <c r="B12" s="24" t="s">
        <v>43</v>
      </c>
      <c r="C12" s="24" t="s">
        <v>44</v>
      </c>
      <c r="D12" s="24" t="s">
        <v>45</v>
      </c>
      <c r="E12" s="24" t="s">
        <v>46</v>
      </c>
      <c r="F12" s="23"/>
      <c r="G12" s="23"/>
      <c r="H12" s="24" t="s">
        <v>47</v>
      </c>
      <c r="I12" s="24" t="s">
        <v>48</v>
      </c>
      <c r="J12" s="24" t="s">
        <v>49</v>
      </c>
      <c r="K12" s="24" t="s">
        <v>50</v>
      </c>
      <c r="L12" s="23"/>
      <c r="M12" s="40" t="s">
        <v>62</v>
      </c>
      <c r="N12" s="30"/>
      <c r="O12" s="30"/>
      <c r="P12" s="31"/>
      <c r="Q12" s="23"/>
      <c r="R12" s="23"/>
      <c r="S12" s="23"/>
      <c r="T12" s="23"/>
      <c r="U12" s="23"/>
      <c r="V12" s="23"/>
      <c r="W12" s="23"/>
      <c r="X12" s="23"/>
      <c r="Y12" s="23"/>
      <c r="Z12" s="23"/>
    </row>
    <row r="13" spans="1:26" ht="21" customHeight="1">
      <c r="A13" s="23"/>
      <c r="B13" s="28">
        <f>MIN('Data '!G:G)</f>
        <v>157</v>
      </c>
      <c r="C13" s="28">
        <f>MAX('Data '!G:G)</f>
        <v>2176231.5</v>
      </c>
      <c r="D13" s="28">
        <f>AVERAGE('Data '!G:G)</f>
        <v>62705.61550084121</v>
      </c>
      <c r="E13" s="28">
        <f>MEDIAN('Data '!G:G)</f>
        <v>9148.5555555555547</v>
      </c>
      <c r="F13" s="23"/>
      <c r="G13" s="23"/>
      <c r="H13" s="28">
        <f>MIN('Data '!P:P)*1000</f>
        <v>0</v>
      </c>
      <c r="I13" s="28">
        <f>MAX('Data '!P:P)*1000</f>
        <v>34367.70308467494</v>
      </c>
      <c r="J13" s="28">
        <f>AVERAGE('Data '!P:P)*1000</f>
        <v>8399.2972022853246</v>
      </c>
      <c r="K13" s="28">
        <f>MEDIAN('Data '!P:P)*1000</f>
        <v>7678.604518980228</v>
      </c>
      <c r="L13" s="23"/>
      <c r="M13" s="29" t="s">
        <v>63</v>
      </c>
      <c r="N13" s="30"/>
      <c r="O13" s="30"/>
      <c r="P13" s="31"/>
      <c r="Q13" s="23"/>
      <c r="R13" s="23"/>
      <c r="S13" s="23"/>
      <c r="T13" s="23"/>
      <c r="U13" s="23"/>
      <c r="V13" s="23"/>
      <c r="W13" s="23"/>
      <c r="X13" s="23"/>
      <c r="Y13" s="23"/>
      <c r="Z13" s="23"/>
    </row>
    <row r="14" spans="1:26" ht="21" customHeight="1">
      <c r="A14" s="23"/>
      <c r="B14" s="32"/>
      <c r="C14" s="32"/>
      <c r="D14" s="32"/>
      <c r="E14" s="32"/>
      <c r="F14" s="23"/>
      <c r="G14" s="23"/>
      <c r="H14" s="32"/>
      <c r="I14" s="32"/>
      <c r="J14" s="32"/>
      <c r="K14" s="32"/>
      <c r="L14" s="23"/>
      <c r="M14" s="38" t="s">
        <v>64</v>
      </c>
      <c r="N14" s="30"/>
      <c r="O14" s="30"/>
      <c r="P14" s="31"/>
      <c r="Q14" s="23"/>
      <c r="R14" s="23"/>
      <c r="S14" s="23"/>
      <c r="T14" s="23"/>
      <c r="U14" s="23"/>
      <c r="V14" s="23"/>
      <c r="W14" s="23"/>
      <c r="X14" s="23"/>
      <c r="Y14" s="23"/>
      <c r="Z14" s="23"/>
    </row>
    <row r="15" spans="1:26" ht="21" customHeight="1">
      <c r="A15" s="23"/>
      <c r="B15" s="266" t="s">
        <v>0</v>
      </c>
      <c r="C15" s="255"/>
      <c r="D15" s="266" t="s">
        <v>65</v>
      </c>
      <c r="E15" s="255"/>
      <c r="F15" s="23"/>
      <c r="G15" s="23"/>
      <c r="H15" s="266" t="s">
        <v>55</v>
      </c>
      <c r="I15" s="255"/>
      <c r="J15" s="266" t="s">
        <v>66</v>
      </c>
      <c r="K15" s="255"/>
      <c r="L15" s="23"/>
      <c r="M15" s="39"/>
      <c r="N15" s="30"/>
      <c r="O15" s="30"/>
      <c r="P15" s="31"/>
      <c r="Q15" s="23"/>
      <c r="R15" s="23"/>
      <c r="S15" s="23"/>
      <c r="T15" s="23"/>
      <c r="U15" s="23"/>
      <c r="V15" s="23"/>
      <c r="W15" s="23"/>
      <c r="X15" s="23"/>
      <c r="Y15" s="23"/>
      <c r="Z15" s="23"/>
    </row>
    <row r="16" spans="1:26" ht="21" customHeight="1">
      <c r="A16" s="23"/>
      <c r="B16" s="33" t="s">
        <v>57</v>
      </c>
      <c r="C16" s="34">
        <v>4</v>
      </c>
      <c r="D16" s="265">
        <f>C16*E13</f>
        <v>36594.222222222219</v>
      </c>
      <c r="E16" s="255"/>
      <c r="F16" s="23"/>
      <c r="G16" s="23"/>
      <c r="H16" s="33" t="s">
        <v>57</v>
      </c>
      <c r="I16" s="35"/>
      <c r="J16" s="36">
        <f>I16*(AVERAGE('Data '!P:P))</f>
        <v>0</v>
      </c>
      <c r="K16" s="37"/>
      <c r="L16" s="23"/>
      <c r="M16" s="39"/>
      <c r="N16" s="30"/>
      <c r="O16" s="30"/>
      <c r="P16" s="31"/>
      <c r="Q16" s="23"/>
      <c r="R16" s="23"/>
      <c r="S16" s="23"/>
      <c r="T16" s="23"/>
      <c r="U16" s="23"/>
      <c r="V16" s="23"/>
      <c r="W16" s="23"/>
      <c r="X16" s="23"/>
      <c r="Y16" s="23"/>
      <c r="Z16" s="23"/>
    </row>
    <row r="17" spans="1:26" ht="21" customHeight="1">
      <c r="A17" s="23"/>
      <c r="B17" s="23"/>
      <c r="C17" s="23"/>
      <c r="D17" s="23"/>
      <c r="E17" s="23"/>
      <c r="F17" s="23"/>
      <c r="G17" s="23"/>
      <c r="H17" s="23"/>
      <c r="I17" s="23"/>
      <c r="J17" s="23"/>
      <c r="K17" s="23"/>
      <c r="L17" s="23"/>
      <c r="M17" s="39"/>
      <c r="N17" s="30"/>
      <c r="O17" s="30"/>
      <c r="P17" s="31"/>
      <c r="Q17" s="23"/>
      <c r="R17" s="23"/>
      <c r="S17" s="23"/>
      <c r="T17" s="23"/>
      <c r="U17" s="23"/>
      <c r="V17" s="23"/>
      <c r="W17" s="23"/>
      <c r="X17" s="23"/>
      <c r="Y17" s="23"/>
      <c r="Z17" s="23"/>
    </row>
    <row r="18" spans="1:26" ht="21" customHeight="1">
      <c r="A18" s="23"/>
      <c r="B18" s="23"/>
      <c r="C18" s="23"/>
      <c r="D18" s="23"/>
      <c r="E18" s="23"/>
      <c r="F18" s="23"/>
      <c r="G18" s="23"/>
      <c r="H18" s="23"/>
      <c r="I18" s="23"/>
      <c r="J18" s="23"/>
      <c r="K18" s="23"/>
      <c r="L18" s="23"/>
      <c r="M18" s="39"/>
      <c r="N18" s="30"/>
      <c r="O18" s="30"/>
      <c r="P18" s="31"/>
      <c r="Q18" s="23"/>
      <c r="R18" s="23"/>
      <c r="S18" s="23"/>
      <c r="T18" s="23"/>
      <c r="U18" s="23"/>
      <c r="V18" s="23"/>
      <c r="W18" s="23"/>
      <c r="X18" s="23"/>
      <c r="Y18" s="23"/>
      <c r="Z18" s="23"/>
    </row>
    <row r="19" spans="1:26" ht="21" customHeight="1">
      <c r="A19" s="23"/>
      <c r="B19" s="256"/>
      <c r="C19" s="257"/>
      <c r="D19" s="257"/>
      <c r="E19" s="257"/>
      <c r="F19" s="257"/>
      <c r="G19" s="23"/>
      <c r="H19" s="258" t="s">
        <v>67</v>
      </c>
      <c r="I19" s="259"/>
      <c r="J19" s="259"/>
      <c r="K19" s="259"/>
      <c r="L19" s="23"/>
      <c r="M19" s="39"/>
      <c r="N19" s="30"/>
      <c r="O19" s="30"/>
      <c r="P19" s="31"/>
      <c r="Q19" s="23"/>
      <c r="R19" s="23"/>
      <c r="S19" s="23"/>
      <c r="T19" s="23"/>
      <c r="U19" s="23"/>
      <c r="V19" s="23"/>
      <c r="W19" s="23"/>
      <c r="X19" s="23"/>
      <c r="Y19" s="23"/>
      <c r="Z19" s="23"/>
    </row>
    <row r="20" spans="1:26" ht="21" customHeight="1">
      <c r="A20" s="23"/>
      <c r="B20" s="260" t="s">
        <v>68</v>
      </c>
      <c r="C20" s="261"/>
      <c r="D20" s="41" t="s">
        <v>169</v>
      </c>
      <c r="E20" s="41" t="s">
        <v>170</v>
      </c>
      <c r="F20" s="41" t="s">
        <v>171</v>
      </c>
      <c r="G20" s="23"/>
      <c r="H20" s="257"/>
      <c r="I20" s="257"/>
      <c r="J20" s="257"/>
      <c r="K20" s="257"/>
      <c r="L20" s="23"/>
      <c r="M20" s="39"/>
      <c r="N20" s="30"/>
      <c r="O20" s="30"/>
      <c r="P20" s="31"/>
      <c r="Q20" s="23"/>
      <c r="R20" s="23"/>
      <c r="S20" s="23"/>
      <c r="T20" s="23"/>
      <c r="U20" s="23"/>
      <c r="V20" s="23"/>
      <c r="W20" s="23"/>
      <c r="X20" s="23"/>
      <c r="Y20" s="23"/>
      <c r="Z20" s="23"/>
    </row>
    <row r="21" spans="1:26" ht="21" customHeight="1">
      <c r="A21" s="23"/>
      <c r="B21" s="262" t="s">
        <v>69</v>
      </c>
      <c r="C21" s="255"/>
      <c r="D21" s="28">
        <f>D8+J8</f>
        <v>1508520.0804681792</v>
      </c>
      <c r="E21" s="28">
        <f>D8+J8</f>
        <v>1508520.0804681792</v>
      </c>
      <c r="F21" s="28">
        <f>D8+J8</f>
        <v>1508520.0804681792</v>
      </c>
      <c r="G21" s="23"/>
      <c r="H21" s="24" t="s">
        <v>47</v>
      </c>
      <c r="I21" s="24" t="s">
        <v>48</v>
      </c>
      <c r="J21" s="24" t="s">
        <v>49</v>
      </c>
      <c r="K21" s="24" t="s">
        <v>50</v>
      </c>
      <c r="L21" s="23"/>
      <c r="M21" s="40" t="s">
        <v>60</v>
      </c>
      <c r="N21" s="30"/>
      <c r="O21" s="30"/>
      <c r="P21" s="31"/>
      <c r="Q21" s="23"/>
      <c r="R21" s="23"/>
      <c r="S21" s="23"/>
      <c r="T21" s="23"/>
      <c r="U21" s="23"/>
      <c r="V21" s="23"/>
      <c r="W21" s="23"/>
      <c r="X21" s="23"/>
      <c r="Y21" s="23"/>
      <c r="Z21" s="23"/>
    </row>
    <row r="22" spans="1:26" ht="21" customHeight="1">
      <c r="A22" s="23"/>
      <c r="B22" s="262" t="s">
        <v>70</v>
      </c>
      <c r="C22" s="255"/>
      <c r="D22" s="28">
        <f>D16+J16+J25</f>
        <v>266659.12354695902</v>
      </c>
      <c r="E22" s="28">
        <f>D16+J16+J25</f>
        <v>266659.12354695902</v>
      </c>
      <c r="F22" s="28">
        <f>D16+J16+J25</f>
        <v>266659.12354695902</v>
      </c>
      <c r="G22" s="23"/>
      <c r="H22" s="28">
        <f>MIN('Data '!M:M)*1000</f>
        <v>0</v>
      </c>
      <c r="I22" s="28">
        <f>MAX('Data '!M:M)*1000</f>
        <v>1929982.8571428573</v>
      </c>
      <c r="J22" s="28">
        <f>AVERAGE('Data '!M:M)*1000</f>
        <v>230064.9013247368</v>
      </c>
      <c r="K22" s="28">
        <f>MEDIAN('Data '!M:M)*1000</f>
        <v>196960.5</v>
      </c>
      <c r="L22" s="23"/>
      <c r="M22" s="272" t="s">
        <v>71</v>
      </c>
      <c r="N22" s="268"/>
      <c r="O22" s="268"/>
      <c r="P22" s="269"/>
      <c r="Q22" s="23"/>
      <c r="R22" s="23"/>
      <c r="S22" s="23"/>
      <c r="T22" s="23"/>
      <c r="U22" s="23"/>
      <c r="V22" s="23"/>
      <c r="W22" s="23"/>
      <c r="X22" s="23"/>
      <c r="Y22" s="23"/>
      <c r="Z22" s="23"/>
    </row>
    <row r="23" spans="1:26" ht="21" customHeight="1">
      <c r="A23" s="23"/>
      <c r="B23" s="263" t="s">
        <v>72</v>
      </c>
      <c r="C23" s="264"/>
      <c r="D23" s="264"/>
      <c r="E23" s="264"/>
      <c r="F23" s="264"/>
      <c r="G23" s="23"/>
      <c r="H23" s="42"/>
      <c r="I23" s="42"/>
      <c r="J23" s="42"/>
      <c r="K23" s="42"/>
      <c r="L23" s="23"/>
      <c r="M23" s="270"/>
      <c r="N23" s="259"/>
      <c r="O23" s="259"/>
      <c r="P23" s="271"/>
      <c r="Q23" s="23"/>
      <c r="R23" s="23"/>
      <c r="S23" s="23"/>
      <c r="T23" s="23"/>
      <c r="U23" s="23"/>
      <c r="V23" s="23"/>
      <c r="W23" s="23"/>
      <c r="X23" s="23"/>
      <c r="Y23" s="23"/>
      <c r="Z23" s="23"/>
    </row>
    <row r="24" spans="1:26" ht="21" customHeight="1">
      <c r="A24" s="23"/>
      <c r="B24" s="259"/>
      <c r="C24" s="259"/>
      <c r="D24" s="259"/>
      <c r="E24" s="259"/>
      <c r="F24" s="259"/>
      <c r="G24" s="23"/>
      <c r="H24" s="266" t="s">
        <v>55</v>
      </c>
      <c r="I24" s="255"/>
      <c r="J24" s="266" t="s">
        <v>73</v>
      </c>
      <c r="K24" s="255"/>
      <c r="L24" s="23"/>
      <c r="M24" s="29"/>
      <c r="N24" s="30"/>
      <c r="O24" s="30"/>
      <c r="P24" s="31"/>
      <c r="Q24" s="23"/>
      <c r="R24" s="23"/>
      <c r="S24" s="23"/>
      <c r="T24" s="23"/>
      <c r="U24" s="23"/>
      <c r="V24" s="23"/>
      <c r="W24" s="23"/>
      <c r="X24" s="23"/>
      <c r="Y24" s="23"/>
      <c r="Z24" s="23"/>
    </row>
    <row r="25" spans="1:26" ht="21" customHeight="1">
      <c r="A25" s="23"/>
      <c r="B25" s="260" t="s">
        <v>74</v>
      </c>
      <c r="C25" s="261"/>
      <c r="D25" s="41" t="s">
        <v>169</v>
      </c>
      <c r="E25" s="41" t="s">
        <v>170</v>
      </c>
      <c r="F25" s="41" t="s">
        <v>171</v>
      </c>
      <c r="G25" s="23"/>
      <c r="H25" s="33" t="s">
        <v>57</v>
      </c>
      <c r="I25" s="35">
        <v>1000</v>
      </c>
      <c r="J25" s="36">
        <f>I25*(AVERAGE('Data '!M:M))</f>
        <v>230064.9013247368</v>
      </c>
      <c r="K25" s="37"/>
      <c r="L25" s="23"/>
      <c r="M25" s="39"/>
      <c r="N25" s="30"/>
      <c r="O25" s="30"/>
      <c r="P25" s="31"/>
      <c r="Q25" s="23"/>
      <c r="R25" s="23"/>
      <c r="S25" s="23"/>
      <c r="T25" s="23"/>
      <c r="U25" s="23"/>
      <c r="V25" s="23"/>
      <c r="W25" s="23"/>
      <c r="X25" s="23"/>
      <c r="Y25" s="23"/>
      <c r="Z25" s="23"/>
    </row>
    <row r="26" spans="1:26" ht="21" customHeight="1">
      <c r="A26" s="23"/>
      <c r="B26" s="254" t="s">
        <v>75</v>
      </c>
      <c r="C26" s="255"/>
      <c r="D26" s="43">
        <f>I8</f>
        <v>1000</v>
      </c>
      <c r="E26" s="43">
        <f>I8</f>
        <v>1000</v>
      </c>
      <c r="F26" s="43">
        <f>I8</f>
        <v>1000</v>
      </c>
      <c r="G26" s="23"/>
      <c r="H26" s="23"/>
      <c r="I26" s="23"/>
      <c r="J26" s="23"/>
      <c r="K26" s="44"/>
      <c r="L26" s="23"/>
      <c r="M26" s="267" t="s">
        <v>76</v>
      </c>
      <c r="N26" s="268"/>
      <c r="O26" s="268"/>
      <c r="P26" s="269"/>
      <c r="Q26" s="23"/>
      <c r="R26" s="23"/>
      <c r="S26" s="23"/>
      <c r="T26" s="23"/>
      <c r="U26" s="23"/>
      <c r="V26" s="23"/>
      <c r="W26" s="23"/>
      <c r="X26" s="23"/>
      <c r="Y26" s="23"/>
      <c r="Z26" s="23"/>
    </row>
    <row r="27" spans="1:26" ht="21" customHeight="1">
      <c r="A27" s="23"/>
      <c r="B27" s="254" t="s">
        <v>77</v>
      </c>
      <c r="C27" s="255"/>
      <c r="D27" s="43">
        <f>I16</f>
        <v>0</v>
      </c>
      <c r="E27" s="43">
        <f>I16</f>
        <v>0</v>
      </c>
      <c r="F27" s="43">
        <f>I16</f>
        <v>0</v>
      </c>
      <c r="G27" s="23"/>
      <c r="H27" s="23"/>
      <c r="I27" s="23"/>
      <c r="J27" s="23"/>
      <c r="K27" s="45"/>
      <c r="L27" s="46"/>
      <c r="M27" s="270"/>
      <c r="N27" s="259"/>
      <c r="O27" s="259"/>
      <c r="P27" s="271"/>
      <c r="Q27" s="23"/>
      <c r="R27" s="23"/>
      <c r="S27" s="23"/>
      <c r="T27" s="23"/>
      <c r="U27" s="23"/>
      <c r="V27" s="23"/>
      <c r="W27" s="23"/>
      <c r="X27" s="23"/>
      <c r="Y27" s="23"/>
      <c r="Z27" s="23"/>
    </row>
    <row r="28" spans="1:26" ht="21" customHeight="1">
      <c r="A28" s="23"/>
      <c r="B28" s="254" t="s">
        <v>78</v>
      </c>
      <c r="C28" s="255"/>
      <c r="D28" s="43">
        <f>I25</f>
        <v>1000</v>
      </c>
      <c r="E28" s="43">
        <f>I25</f>
        <v>1000</v>
      </c>
      <c r="F28" s="43">
        <f>I25</f>
        <v>1000</v>
      </c>
      <c r="G28" s="23"/>
      <c r="H28" s="23"/>
      <c r="I28" s="23"/>
      <c r="J28" s="23"/>
      <c r="K28" s="45"/>
      <c r="L28" s="47"/>
      <c r="M28" s="48" t="s">
        <v>79</v>
      </c>
      <c r="N28" s="49"/>
      <c r="O28" s="49"/>
      <c r="P28" s="50"/>
      <c r="Q28" s="23"/>
      <c r="R28" s="23"/>
      <c r="S28" s="23"/>
      <c r="T28" s="23"/>
      <c r="U28" s="23"/>
      <c r="V28" s="23"/>
      <c r="W28" s="23"/>
      <c r="X28" s="23"/>
      <c r="Y28" s="23"/>
      <c r="Z28" s="23"/>
    </row>
    <row r="29" spans="1:26" ht="21" customHeight="1">
      <c r="A29" s="23"/>
      <c r="B29" s="254" t="s">
        <v>80</v>
      </c>
      <c r="C29" s="255"/>
      <c r="D29" s="51">
        <f>SUM(D26:D28)</f>
        <v>2000</v>
      </c>
      <c r="E29" s="51">
        <f>SUM(E26:E28)</f>
        <v>2000</v>
      </c>
      <c r="F29" s="51">
        <f>SUM(F26:F28)</f>
        <v>2000</v>
      </c>
      <c r="G29" s="23"/>
      <c r="H29" s="23"/>
      <c r="I29" s="23"/>
      <c r="J29" s="23"/>
      <c r="K29" s="23"/>
      <c r="L29" s="23"/>
      <c r="M29" s="23"/>
      <c r="N29" s="23"/>
      <c r="O29" s="23"/>
      <c r="P29" s="23"/>
      <c r="Q29" s="23"/>
      <c r="R29" s="23"/>
      <c r="S29" s="23"/>
      <c r="T29" s="23"/>
      <c r="U29" s="23"/>
      <c r="V29" s="23"/>
      <c r="W29" s="23"/>
      <c r="X29" s="23"/>
      <c r="Y29" s="23"/>
      <c r="Z29" s="23"/>
    </row>
    <row r="30" spans="1:26" ht="13.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ht="13.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spans="1:26" ht="13.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spans="1:26" ht="13.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spans="1:26" ht="13.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spans="1:26" ht="13.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spans="1:26" ht="13.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ht="13.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spans="1:26" ht="13.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1:26" ht="13.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spans="1:26" ht="13.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1:26" ht="13.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1:26" ht="13.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1:26" ht="13.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spans="1:26" ht="13.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spans="1:26" ht="13.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spans="1:26" ht="13.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spans="1:26" ht="13.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spans="1:26" ht="13.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spans="1:26" ht="13.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spans="1:26" ht="13.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spans="1:26" ht="13.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spans="1:26" ht="13.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spans="1:26" ht="13.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spans="1:26" ht="13.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spans="1:26" ht="13.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spans="1:26" ht="13.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spans="1:26" ht="13.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spans="1:26" ht="13.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spans="1:26" ht="13.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spans="1:26" ht="13.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ht="13.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spans="1:26" ht="13.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ht="13.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ht="13.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ht="13.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ht="13.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ht="13.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ht="13.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ht="13.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ht="13.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ht="13.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ht="13.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ht="13.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ht="13.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ht="13.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ht="13.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ht="13.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ht="13.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ht="13.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ht="13.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ht="13.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ht="13.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ht="13.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ht="13.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ht="13.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ht="13.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ht="13.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ht="13.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ht="13.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ht="13.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ht="13.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ht="13.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ht="13.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ht="13.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ht="13.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ht="13.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ht="13.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ht="13.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ht="13.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ht="13.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13.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13.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13.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13.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13.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13.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13.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13.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13.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13.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13.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13.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13.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13.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13.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13.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13.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13.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13.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13.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13.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13.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13.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13.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13.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13.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13.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13.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13.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13.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13.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13.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13.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13.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13.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13.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13.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13.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13.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13.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13.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13.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13.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13.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13.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13.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13.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13.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13.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13.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13.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13.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13.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13.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13.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13.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13.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13.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13.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13.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13.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13.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13.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13.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13.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13.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13.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13.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13.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13.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13.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13.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13.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13.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13.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13.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13.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13.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13.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13.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13.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13.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13.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13.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13.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13.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13.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13.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13.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13.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13.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13.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13.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13.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13.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13.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13.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13.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13.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13.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13.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13.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13.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13.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13.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13.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13.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13.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13.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13.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13.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13.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13.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13.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13.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13.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13.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13.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13.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13.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13.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13.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13.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13.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13.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13.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13.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13.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13.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15.75" customHeight="1"/>
    <row r="231" spans="1:26" ht="15.75" customHeight="1"/>
    <row r="232" spans="1:26" ht="15.75" customHeight="1"/>
    <row r="233" spans="1:26" ht="15.75" customHeight="1"/>
    <row r="234" spans="1:26" ht="15.75" customHeight="1"/>
    <row r="235" spans="1:26" ht="15.75" customHeight="1"/>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9">
    <mergeCell ref="B3:E3"/>
    <mergeCell ref="H3:K3"/>
    <mergeCell ref="B7:C7"/>
    <mergeCell ref="D7:E7"/>
    <mergeCell ref="H7:I7"/>
    <mergeCell ref="J7:K7"/>
    <mergeCell ref="D8:E8"/>
    <mergeCell ref="B11:E11"/>
    <mergeCell ref="H11:K11"/>
    <mergeCell ref="B15:C15"/>
    <mergeCell ref="D15:E15"/>
    <mergeCell ref="H15:I15"/>
    <mergeCell ref="J15:K15"/>
    <mergeCell ref="D16:E16"/>
    <mergeCell ref="H24:I24"/>
    <mergeCell ref="J24:K24"/>
    <mergeCell ref="M26:P27"/>
    <mergeCell ref="B25:C25"/>
    <mergeCell ref="B26:C26"/>
    <mergeCell ref="B27:C27"/>
    <mergeCell ref="M22:P23"/>
    <mergeCell ref="B28:C28"/>
    <mergeCell ref="B29:C29"/>
    <mergeCell ref="B19:F19"/>
    <mergeCell ref="H19:K20"/>
    <mergeCell ref="B20:C20"/>
    <mergeCell ref="B21:C21"/>
    <mergeCell ref="B22:C22"/>
    <mergeCell ref="B23:F24"/>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98"/>
  <sheetViews>
    <sheetView workbookViewId="0">
      <pane ySplit="1" topLeftCell="A354" activePane="bottomLeft" state="frozen"/>
      <selection pane="bottomLeft" activeCell="O328" sqref="O328"/>
    </sheetView>
  </sheetViews>
  <sheetFormatPr defaultColWidth="12.6640625" defaultRowHeight="15" customHeight="1"/>
  <cols>
    <col min="1" max="1" width="57" customWidth="1"/>
    <col min="2" max="2" width="11.33203125" customWidth="1"/>
    <col min="3" max="3" width="13.77734375" bestFit="1" customWidth="1"/>
    <col min="4" max="4" width="12.6640625" customWidth="1"/>
    <col min="5" max="5" width="18" bestFit="1" customWidth="1"/>
    <col min="6" max="6" width="23.109375" bestFit="1" customWidth="1"/>
    <col min="7" max="7" width="24.44140625" bestFit="1" customWidth="1"/>
    <col min="8" max="8" width="15" bestFit="1" customWidth="1"/>
    <col min="9" max="9" width="22.109375" bestFit="1" customWidth="1"/>
    <col min="10" max="10" width="22.44140625" bestFit="1" customWidth="1"/>
    <col min="11" max="11" width="15.33203125" customWidth="1"/>
    <col min="12" max="12" width="22.6640625" customWidth="1"/>
    <col min="13" max="13" width="18.109375" customWidth="1"/>
    <col min="14" max="14" width="10.77734375" customWidth="1"/>
    <col min="15" max="15" width="16.6640625" customWidth="1"/>
    <col min="16" max="16" width="11.109375" customWidth="1"/>
    <col min="17" max="26" width="10.6640625" customWidth="1"/>
  </cols>
  <sheetData>
    <row r="1" spans="1:26" ht="15.75" customHeight="1">
      <c r="A1" s="52" t="s">
        <v>81</v>
      </c>
      <c r="B1" s="53" t="s">
        <v>82</v>
      </c>
      <c r="C1" s="52" t="s">
        <v>83</v>
      </c>
      <c r="D1" s="52" t="s">
        <v>84</v>
      </c>
      <c r="E1" s="52" t="s">
        <v>41</v>
      </c>
      <c r="F1" s="52" t="s">
        <v>85</v>
      </c>
      <c r="G1" s="52" t="s">
        <v>86</v>
      </c>
      <c r="H1" s="52" t="s">
        <v>87</v>
      </c>
      <c r="I1" s="52" t="s">
        <v>88</v>
      </c>
      <c r="J1" s="52" t="s">
        <v>89</v>
      </c>
      <c r="K1" s="52" t="s">
        <v>90</v>
      </c>
      <c r="L1" s="54" t="s">
        <v>91</v>
      </c>
      <c r="M1" s="52" t="s">
        <v>92</v>
      </c>
      <c r="N1" s="52" t="s">
        <v>93</v>
      </c>
      <c r="O1" s="54" t="s">
        <v>94</v>
      </c>
      <c r="P1" s="52" t="s">
        <v>95</v>
      </c>
      <c r="Q1" s="55"/>
      <c r="R1" s="55"/>
      <c r="S1" s="55"/>
      <c r="T1" s="55"/>
      <c r="U1" s="55"/>
      <c r="V1" s="55"/>
      <c r="W1" s="55"/>
      <c r="X1" s="55"/>
      <c r="Y1" s="55"/>
      <c r="Z1" s="55"/>
    </row>
    <row r="2" spans="1:26" ht="15.75" customHeight="1">
      <c r="A2" s="56" t="s">
        <v>96</v>
      </c>
      <c r="B2" s="57">
        <v>43999</v>
      </c>
      <c r="C2" s="56">
        <v>49</v>
      </c>
      <c r="D2" s="58">
        <v>36300</v>
      </c>
      <c r="E2" s="58">
        <v>2700000</v>
      </c>
      <c r="F2" s="58">
        <f t="shared" ref="F2:F69" si="0">E2/C2</f>
        <v>55102.040816326531</v>
      </c>
      <c r="G2" s="59">
        <f t="shared" ref="G2:G69" si="1">D2/C2</f>
        <v>740.81632653061229</v>
      </c>
      <c r="H2" s="58">
        <v>5413016</v>
      </c>
      <c r="I2" s="60">
        <v>4883</v>
      </c>
      <c r="J2" s="61">
        <f>H2/I2</f>
        <v>1108.5431087446243</v>
      </c>
      <c r="K2" s="56"/>
      <c r="L2" s="60"/>
      <c r="M2" s="56"/>
      <c r="N2" s="56"/>
      <c r="O2" s="60"/>
      <c r="P2" s="56"/>
      <c r="Q2" s="55"/>
      <c r="R2" s="55"/>
      <c r="S2" s="55"/>
      <c r="T2" s="55"/>
      <c r="U2" s="55"/>
      <c r="V2" s="55"/>
      <c r="W2" s="55"/>
      <c r="X2" s="55"/>
      <c r="Y2" s="55"/>
      <c r="Z2" s="55"/>
    </row>
    <row r="3" spans="1:26" ht="15.75" customHeight="1">
      <c r="A3" s="56" t="s">
        <v>97</v>
      </c>
      <c r="B3" s="57">
        <v>44008</v>
      </c>
      <c r="C3" s="56">
        <v>48</v>
      </c>
      <c r="D3" s="58">
        <v>37900</v>
      </c>
      <c r="E3" s="58">
        <v>1600000</v>
      </c>
      <c r="F3" s="58">
        <f t="shared" si="0"/>
        <v>33333.333333333336</v>
      </c>
      <c r="G3" s="59">
        <f t="shared" si="1"/>
        <v>789.58333333333337</v>
      </c>
      <c r="H3" s="58">
        <v>5413016</v>
      </c>
      <c r="I3" s="62">
        <v>4883</v>
      </c>
      <c r="J3" s="61">
        <f>H3/I3</f>
        <v>1108.5431087446243</v>
      </c>
      <c r="K3" s="56"/>
      <c r="L3" s="60"/>
      <c r="M3" s="56"/>
      <c r="N3" s="56"/>
      <c r="O3" s="60"/>
      <c r="P3" s="56"/>
      <c r="Q3" s="55"/>
      <c r="R3" s="55"/>
      <c r="S3" s="55"/>
      <c r="T3" s="55"/>
      <c r="U3" s="55"/>
      <c r="V3" s="55"/>
      <c r="W3" s="55"/>
      <c r="X3" s="55"/>
      <c r="Y3" s="55"/>
      <c r="Z3" s="55"/>
    </row>
    <row r="4" spans="1:26" ht="15.75" customHeight="1">
      <c r="A4" s="56" t="s">
        <v>98</v>
      </c>
      <c r="B4" s="57">
        <v>43956</v>
      </c>
      <c r="C4" s="56">
        <v>33</v>
      </c>
      <c r="D4" s="58">
        <v>17400</v>
      </c>
      <c r="E4" s="58">
        <v>1130000</v>
      </c>
      <c r="F4" s="58">
        <f t="shared" si="0"/>
        <v>34242.42424242424</v>
      </c>
      <c r="G4" s="59">
        <f t="shared" si="1"/>
        <v>527.27272727272725</v>
      </c>
      <c r="H4" s="58">
        <v>1670000</v>
      </c>
      <c r="I4" s="60">
        <v>3000</v>
      </c>
      <c r="J4" s="61">
        <f>H4/I4</f>
        <v>556.66666666666663</v>
      </c>
      <c r="K4" s="56"/>
      <c r="L4" s="60"/>
      <c r="M4" s="56"/>
      <c r="N4" s="56"/>
      <c r="O4" s="60"/>
      <c r="P4" s="56"/>
      <c r="Q4" s="55"/>
      <c r="R4" s="55"/>
      <c r="S4" s="55"/>
      <c r="T4" s="55"/>
      <c r="U4" s="55"/>
      <c r="V4" s="55"/>
      <c r="W4" s="55"/>
      <c r="X4" s="55"/>
      <c r="Y4" s="55"/>
      <c r="Z4" s="55"/>
    </row>
    <row r="5" spans="1:26" ht="15.75" customHeight="1">
      <c r="A5" s="56" t="s">
        <v>99</v>
      </c>
      <c r="B5" s="57">
        <v>43964</v>
      </c>
      <c r="C5" s="56">
        <v>41</v>
      </c>
      <c r="D5" s="58">
        <v>113100</v>
      </c>
      <c r="E5" s="58">
        <v>602989</v>
      </c>
      <c r="F5" s="58">
        <f t="shared" si="0"/>
        <v>14707.048780487805</v>
      </c>
      <c r="G5" s="59">
        <f t="shared" si="1"/>
        <v>2758.5365853658536</v>
      </c>
      <c r="H5" s="58">
        <v>5697011</v>
      </c>
      <c r="I5" s="60">
        <v>4888.7299999999996</v>
      </c>
      <c r="J5" s="61">
        <f>H5/I5</f>
        <v>1165.3355779517381</v>
      </c>
      <c r="K5" s="56"/>
      <c r="L5" s="60"/>
      <c r="M5" s="56"/>
      <c r="N5" s="56"/>
      <c r="O5" s="60"/>
      <c r="P5" s="56"/>
      <c r="Q5" s="55"/>
      <c r="R5" s="55"/>
      <c r="S5" s="55"/>
      <c r="T5" s="55"/>
      <c r="U5" s="55"/>
      <c r="V5" s="55"/>
      <c r="W5" s="55"/>
      <c r="X5" s="55"/>
      <c r="Y5" s="55"/>
      <c r="Z5" s="55"/>
    </row>
    <row r="6" spans="1:26" ht="15.75" customHeight="1">
      <c r="A6" s="56" t="s">
        <v>100</v>
      </c>
      <c r="B6" s="57">
        <v>43971</v>
      </c>
      <c r="C6" s="56">
        <v>49</v>
      </c>
      <c r="D6" s="58">
        <v>36300</v>
      </c>
      <c r="E6" s="58">
        <v>2700000</v>
      </c>
      <c r="F6" s="58">
        <f t="shared" si="0"/>
        <v>55102.040816326531</v>
      </c>
      <c r="G6" s="59">
        <f t="shared" si="1"/>
        <v>740.81632653061229</v>
      </c>
      <c r="H6" s="58"/>
      <c r="I6" s="60"/>
      <c r="J6" s="61"/>
      <c r="K6" s="56"/>
      <c r="L6" s="60"/>
      <c r="M6" s="56"/>
      <c r="N6" s="56"/>
      <c r="O6" s="60"/>
      <c r="P6" s="56"/>
      <c r="Q6" s="55"/>
      <c r="R6" s="55"/>
      <c r="S6" s="55"/>
      <c r="T6" s="55"/>
      <c r="U6" s="55"/>
      <c r="V6" s="55"/>
      <c r="W6" s="55"/>
      <c r="X6" s="55"/>
      <c r="Y6" s="55"/>
      <c r="Z6" s="55"/>
    </row>
    <row r="7" spans="1:26" ht="15.75" customHeight="1">
      <c r="A7" s="56" t="s">
        <v>101</v>
      </c>
      <c r="B7" s="57">
        <v>44076</v>
      </c>
      <c r="C7" s="56">
        <v>8</v>
      </c>
      <c r="D7" s="58">
        <v>10500</v>
      </c>
      <c r="E7" s="58">
        <v>292000</v>
      </c>
      <c r="F7" s="58">
        <f t="shared" si="0"/>
        <v>36500</v>
      </c>
      <c r="G7" s="59">
        <f t="shared" si="1"/>
        <v>1312.5</v>
      </c>
      <c r="H7" s="58"/>
      <c r="I7" s="60"/>
      <c r="J7" s="61"/>
      <c r="K7" s="56"/>
      <c r="L7" s="60"/>
      <c r="M7" s="56"/>
      <c r="N7" s="56"/>
      <c r="O7" s="60"/>
      <c r="P7" s="56"/>
      <c r="Q7" s="55"/>
      <c r="R7" s="55"/>
      <c r="S7" s="55"/>
      <c r="T7" s="55"/>
      <c r="U7" s="55"/>
      <c r="V7" s="55"/>
      <c r="W7" s="55"/>
      <c r="X7" s="55"/>
      <c r="Y7" s="55"/>
      <c r="Z7" s="55"/>
    </row>
    <row r="8" spans="1:26" ht="15.75" customHeight="1">
      <c r="A8" s="56" t="s">
        <v>102</v>
      </c>
      <c r="B8" s="57">
        <v>44095</v>
      </c>
      <c r="C8" s="56">
        <v>32</v>
      </c>
      <c r="D8" s="58">
        <v>34200</v>
      </c>
      <c r="E8" s="58">
        <v>2080000</v>
      </c>
      <c r="F8" s="58">
        <f t="shared" si="0"/>
        <v>65000</v>
      </c>
      <c r="G8" s="59">
        <f t="shared" si="1"/>
        <v>1068.75</v>
      </c>
      <c r="H8" s="58"/>
      <c r="I8" s="60"/>
      <c r="J8" s="61"/>
      <c r="K8" s="56"/>
      <c r="L8" s="60"/>
      <c r="M8" s="56"/>
      <c r="N8" s="56"/>
      <c r="O8" s="60"/>
      <c r="P8" s="56"/>
      <c r="Q8" s="55"/>
      <c r="R8" s="55"/>
      <c r="S8" s="55"/>
      <c r="T8" s="55"/>
      <c r="U8" s="55"/>
      <c r="V8" s="55"/>
      <c r="W8" s="55"/>
      <c r="X8" s="55"/>
      <c r="Y8" s="55"/>
      <c r="Z8" s="55"/>
    </row>
    <row r="9" spans="1:26" ht="15.75" customHeight="1">
      <c r="A9" s="56" t="s">
        <v>103</v>
      </c>
      <c r="B9" s="57">
        <v>44095</v>
      </c>
      <c r="C9" s="56">
        <v>14</v>
      </c>
      <c r="D9" s="58">
        <v>11400</v>
      </c>
      <c r="E9" s="58">
        <v>501253</v>
      </c>
      <c r="F9" s="58">
        <f t="shared" si="0"/>
        <v>35803.785714285717</v>
      </c>
      <c r="G9" s="59">
        <f t="shared" si="1"/>
        <v>814.28571428571433</v>
      </c>
      <c r="H9" s="58">
        <v>1100000</v>
      </c>
      <c r="I9" s="60">
        <v>1000</v>
      </c>
      <c r="J9" s="61">
        <f t="shared" ref="J9:J21" si="2">H9/I9</f>
        <v>1100</v>
      </c>
      <c r="K9" s="56"/>
      <c r="L9" s="60"/>
      <c r="M9" s="56"/>
      <c r="N9" s="56"/>
      <c r="O9" s="60"/>
      <c r="P9" s="56"/>
      <c r="Q9" s="55"/>
      <c r="R9" s="55"/>
      <c r="S9" s="55"/>
      <c r="T9" s="55"/>
      <c r="U9" s="55"/>
      <c r="V9" s="55"/>
      <c r="W9" s="55"/>
      <c r="X9" s="55"/>
      <c r="Y9" s="55"/>
      <c r="Z9" s="55"/>
    </row>
    <row r="10" spans="1:26" ht="15.75" customHeight="1">
      <c r="A10" s="56" t="s">
        <v>104</v>
      </c>
      <c r="B10" s="57">
        <v>44097</v>
      </c>
      <c r="C10" s="56">
        <v>24</v>
      </c>
      <c r="D10" s="58">
        <v>26200</v>
      </c>
      <c r="E10" s="58">
        <v>2360000</v>
      </c>
      <c r="F10" s="58">
        <f t="shared" si="0"/>
        <v>98333.333333333328</v>
      </c>
      <c r="G10" s="59">
        <f t="shared" si="1"/>
        <v>1091.6666666666667</v>
      </c>
      <c r="H10" s="58">
        <v>2600000</v>
      </c>
      <c r="I10" s="60">
        <v>3200</v>
      </c>
      <c r="J10" s="61">
        <f t="shared" si="2"/>
        <v>812.5</v>
      </c>
      <c r="K10" s="56"/>
      <c r="L10" s="60"/>
      <c r="M10" s="56"/>
      <c r="N10" s="56"/>
      <c r="O10" s="60"/>
      <c r="P10" s="56"/>
      <c r="Q10" s="55"/>
      <c r="R10" s="55"/>
      <c r="S10" s="55"/>
      <c r="T10" s="55"/>
      <c r="U10" s="55"/>
      <c r="V10" s="55"/>
      <c r="W10" s="55"/>
      <c r="X10" s="55"/>
      <c r="Y10" s="55"/>
      <c r="Z10" s="55"/>
    </row>
    <row r="11" spans="1:26" ht="15.75" customHeight="1">
      <c r="A11" s="56" t="s">
        <v>105</v>
      </c>
      <c r="B11" s="57">
        <v>44102</v>
      </c>
      <c r="C11" s="56">
        <v>65</v>
      </c>
      <c r="D11" s="58">
        <v>50500</v>
      </c>
      <c r="E11" s="58">
        <v>7000000</v>
      </c>
      <c r="F11" s="58">
        <f t="shared" si="0"/>
        <v>107692.30769230769</v>
      </c>
      <c r="G11" s="59">
        <f t="shared" si="1"/>
        <v>776.92307692307691</v>
      </c>
      <c r="H11" s="58">
        <v>8400000</v>
      </c>
      <c r="I11" s="60">
        <v>10000</v>
      </c>
      <c r="J11" s="61">
        <f t="shared" si="2"/>
        <v>840</v>
      </c>
      <c r="K11" s="56"/>
      <c r="L11" s="60"/>
      <c r="M11" s="56"/>
      <c r="N11" s="56"/>
      <c r="O11" s="60"/>
      <c r="P11" s="56"/>
      <c r="Q11" s="55"/>
      <c r="R11" s="55"/>
      <c r="S11" s="55"/>
      <c r="T11" s="55"/>
      <c r="U11" s="55"/>
      <c r="V11" s="55"/>
      <c r="W11" s="55"/>
      <c r="X11" s="55"/>
      <c r="Y11" s="55"/>
      <c r="Z11" s="55"/>
    </row>
    <row r="12" spans="1:26" ht="15.75" customHeight="1">
      <c r="A12" s="56" t="s">
        <v>106</v>
      </c>
      <c r="B12" s="57">
        <v>44102</v>
      </c>
      <c r="C12" s="56">
        <v>24</v>
      </c>
      <c r="D12" s="58">
        <v>18600</v>
      </c>
      <c r="E12" s="58">
        <v>713823</v>
      </c>
      <c r="F12" s="58">
        <f t="shared" si="0"/>
        <v>29742.625</v>
      </c>
      <c r="G12" s="59">
        <f t="shared" si="1"/>
        <v>775</v>
      </c>
      <c r="H12" s="58">
        <v>1136177</v>
      </c>
      <c r="I12" s="60">
        <v>1200</v>
      </c>
      <c r="J12" s="61">
        <f t="shared" si="2"/>
        <v>946.81416666666667</v>
      </c>
      <c r="K12" s="56"/>
      <c r="L12" s="60"/>
      <c r="M12" s="56"/>
      <c r="N12" s="56"/>
      <c r="O12" s="60"/>
      <c r="P12" s="56"/>
      <c r="Q12" s="55"/>
      <c r="R12" s="55"/>
      <c r="S12" s="55"/>
      <c r="T12" s="55"/>
      <c r="U12" s="55"/>
      <c r="V12" s="55"/>
      <c r="W12" s="55"/>
      <c r="X12" s="55"/>
      <c r="Y12" s="55"/>
      <c r="Z12" s="55"/>
    </row>
    <row r="13" spans="1:26" ht="15.75" customHeight="1">
      <c r="A13" s="56" t="s">
        <v>107</v>
      </c>
      <c r="B13" s="57">
        <v>44119</v>
      </c>
      <c r="C13" s="56">
        <v>74</v>
      </c>
      <c r="D13" s="58">
        <v>92927</v>
      </c>
      <c r="E13" s="58">
        <v>4970793</v>
      </c>
      <c r="F13" s="58">
        <f t="shared" si="0"/>
        <v>67172.878378378373</v>
      </c>
      <c r="G13" s="59">
        <f t="shared" si="1"/>
        <v>1255.7702702702702</v>
      </c>
      <c r="H13" s="58">
        <v>9829207</v>
      </c>
      <c r="I13" s="60">
        <v>10000</v>
      </c>
      <c r="J13" s="61">
        <f t="shared" si="2"/>
        <v>982.92070000000001</v>
      </c>
      <c r="K13" s="56"/>
      <c r="L13" s="60"/>
      <c r="M13" s="56"/>
      <c r="N13" s="56"/>
      <c r="O13" s="60"/>
      <c r="P13" s="56"/>
      <c r="Q13" s="55"/>
      <c r="R13" s="55"/>
      <c r="S13" s="55"/>
      <c r="T13" s="55"/>
      <c r="U13" s="55"/>
      <c r="V13" s="55"/>
      <c r="W13" s="55"/>
      <c r="X13" s="55"/>
      <c r="Y13" s="55"/>
      <c r="Z13" s="55"/>
    </row>
    <row r="14" spans="1:26" ht="15.75" customHeight="1">
      <c r="A14" s="56" t="s">
        <v>108</v>
      </c>
      <c r="B14" s="57">
        <v>44122</v>
      </c>
      <c r="C14" s="56">
        <v>40</v>
      </c>
      <c r="D14" s="58">
        <v>29710</v>
      </c>
      <c r="E14" s="58">
        <v>3600000</v>
      </c>
      <c r="F14" s="58">
        <f t="shared" si="0"/>
        <v>90000</v>
      </c>
      <c r="G14" s="59">
        <f t="shared" si="1"/>
        <v>742.75</v>
      </c>
      <c r="H14" s="58">
        <v>1300000</v>
      </c>
      <c r="I14" s="60">
        <v>2000</v>
      </c>
      <c r="J14" s="61">
        <f t="shared" si="2"/>
        <v>650</v>
      </c>
      <c r="K14" s="56"/>
      <c r="L14" s="60"/>
      <c r="M14" s="56"/>
      <c r="N14" s="56"/>
      <c r="O14" s="60"/>
      <c r="P14" s="56"/>
      <c r="Q14" s="55"/>
      <c r="R14" s="55"/>
      <c r="S14" s="55"/>
      <c r="T14" s="55"/>
      <c r="U14" s="55"/>
      <c r="V14" s="55"/>
      <c r="W14" s="55"/>
      <c r="X14" s="55"/>
      <c r="Y14" s="55"/>
      <c r="Z14" s="55"/>
    </row>
    <row r="15" spans="1:26" ht="15.75" customHeight="1">
      <c r="A15" s="56" t="s">
        <v>109</v>
      </c>
      <c r="B15" s="57">
        <v>44137</v>
      </c>
      <c r="C15" s="56">
        <v>6</v>
      </c>
      <c r="D15" s="58">
        <v>8100</v>
      </c>
      <c r="E15" s="58">
        <v>110000</v>
      </c>
      <c r="F15" s="58">
        <f t="shared" si="0"/>
        <v>18333.333333333332</v>
      </c>
      <c r="G15" s="59">
        <f t="shared" si="1"/>
        <v>1350</v>
      </c>
      <c r="H15" s="58">
        <v>3020000</v>
      </c>
      <c r="I15" s="60">
        <v>3200</v>
      </c>
      <c r="J15" s="61">
        <f t="shared" si="2"/>
        <v>943.75</v>
      </c>
      <c r="K15" s="56"/>
      <c r="L15" s="60"/>
      <c r="M15" s="56"/>
      <c r="N15" s="56"/>
      <c r="O15" s="60"/>
      <c r="P15" s="56"/>
      <c r="Q15" s="55"/>
      <c r="R15" s="55"/>
      <c r="S15" s="55"/>
      <c r="T15" s="55"/>
      <c r="U15" s="55"/>
      <c r="V15" s="55"/>
      <c r="W15" s="55"/>
      <c r="X15" s="55"/>
      <c r="Y15" s="55"/>
      <c r="Z15" s="55"/>
    </row>
    <row r="16" spans="1:26" ht="15.75" customHeight="1">
      <c r="A16" s="56" t="s">
        <v>110</v>
      </c>
      <c r="B16" s="57">
        <v>44144</v>
      </c>
      <c r="C16" s="56">
        <v>41</v>
      </c>
      <c r="D16" s="58">
        <v>30411</v>
      </c>
      <c r="E16" s="58">
        <v>4029182</v>
      </c>
      <c r="F16" s="58">
        <f t="shared" si="0"/>
        <v>98272.731707317071</v>
      </c>
      <c r="G16" s="59">
        <f t="shared" si="1"/>
        <v>741.73170731707319</v>
      </c>
      <c r="H16" s="58">
        <v>2669406</v>
      </c>
      <c r="I16" s="60">
        <v>5000</v>
      </c>
      <c r="J16" s="61">
        <f t="shared" si="2"/>
        <v>533.88120000000004</v>
      </c>
      <c r="K16" s="56"/>
      <c r="L16" s="60"/>
      <c r="M16" s="56"/>
      <c r="N16" s="56"/>
      <c r="O16" s="60"/>
      <c r="P16" s="56"/>
      <c r="Q16" s="55"/>
      <c r="R16" s="55"/>
      <c r="S16" s="55"/>
      <c r="T16" s="55"/>
      <c r="U16" s="55"/>
      <c r="V16" s="55"/>
      <c r="W16" s="55"/>
      <c r="X16" s="55"/>
      <c r="Y16" s="55"/>
      <c r="Z16" s="55"/>
    </row>
    <row r="17" spans="1:26" ht="15.75" customHeight="1">
      <c r="A17" s="56" t="s">
        <v>111</v>
      </c>
      <c r="B17" s="57">
        <v>44151</v>
      </c>
      <c r="C17" s="56">
        <v>41</v>
      </c>
      <c r="D17" s="58">
        <v>104100</v>
      </c>
      <c r="E17" s="58">
        <v>6629113</v>
      </c>
      <c r="F17" s="58">
        <f t="shared" si="0"/>
        <v>161685.68292682926</v>
      </c>
      <c r="G17" s="59">
        <f t="shared" si="1"/>
        <v>2539.0243902439024</v>
      </c>
      <c r="H17" s="58">
        <v>4324277</v>
      </c>
      <c r="I17" s="62">
        <v>4000</v>
      </c>
      <c r="J17" s="61">
        <f t="shared" si="2"/>
        <v>1081.06925</v>
      </c>
      <c r="K17" s="56"/>
      <c r="L17" s="60"/>
      <c r="M17" s="56"/>
      <c r="N17" s="56"/>
      <c r="O17" s="60"/>
      <c r="P17" s="56"/>
      <c r="Q17" s="55"/>
      <c r="R17" s="55"/>
      <c r="S17" s="55"/>
      <c r="T17" s="55"/>
      <c r="U17" s="55"/>
      <c r="V17" s="55"/>
      <c r="W17" s="55"/>
      <c r="X17" s="55"/>
      <c r="Y17" s="55"/>
      <c r="Z17" s="55"/>
    </row>
    <row r="18" spans="1:26" ht="15.75" customHeight="1">
      <c r="A18" s="56" t="s">
        <v>112</v>
      </c>
      <c r="B18" s="57">
        <v>44151</v>
      </c>
      <c r="C18" s="56">
        <v>75</v>
      </c>
      <c r="D18" s="58">
        <v>77600</v>
      </c>
      <c r="E18" s="58">
        <v>5000000</v>
      </c>
      <c r="F18" s="58">
        <f t="shared" si="0"/>
        <v>66666.666666666672</v>
      </c>
      <c r="G18" s="59">
        <f t="shared" si="1"/>
        <v>1034.6666666666667</v>
      </c>
      <c r="H18" s="58">
        <v>4600000</v>
      </c>
      <c r="I18" s="60">
        <v>5000</v>
      </c>
      <c r="J18" s="61">
        <f t="shared" si="2"/>
        <v>920</v>
      </c>
      <c r="K18" s="56"/>
      <c r="L18" s="60"/>
      <c r="M18" s="63"/>
      <c r="N18" s="56"/>
      <c r="O18" s="60"/>
      <c r="P18" s="56"/>
      <c r="Q18" s="55"/>
      <c r="R18" s="55"/>
      <c r="S18" s="55"/>
      <c r="T18" s="55"/>
      <c r="U18" s="55"/>
      <c r="V18" s="55"/>
      <c r="W18" s="55"/>
      <c r="X18" s="55"/>
      <c r="Y18" s="55"/>
      <c r="Z18" s="55"/>
    </row>
    <row r="19" spans="1:26" ht="15.75" customHeight="1">
      <c r="A19" s="56" t="s">
        <v>113</v>
      </c>
      <c r="B19" s="57">
        <v>44151</v>
      </c>
      <c r="C19" s="56">
        <v>56</v>
      </c>
      <c r="D19" s="58">
        <v>44836</v>
      </c>
      <c r="E19" s="58">
        <v>5690123</v>
      </c>
      <c r="F19" s="58">
        <f t="shared" si="0"/>
        <v>101609.33928571429</v>
      </c>
      <c r="G19" s="59">
        <f t="shared" si="1"/>
        <v>800.64285714285711</v>
      </c>
      <c r="H19" s="58">
        <v>3500000</v>
      </c>
      <c r="I19" s="60">
        <v>5000</v>
      </c>
      <c r="J19" s="61">
        <f t="shared" si="2"/>
        <v>700</v>
      </c>
      <c r="K19" s="56"/>
      <c r="L19" s="60"/>
      <c r="M19" s="63"/>
      <c r="N19" s="56"/>
      <c r="O19" s="60"/>
      <c r="P19" s="56"/>
      <c r="Q19" s="55"/>
      <c r="R19" s="55"/>
      <c r="S19" s="55"/>
      <c r="T19" s="55"/>
      <c r="U19" s="55"/>
      <c r="V19" s="55"/>
      <c r="W19" s="55"/>
      <c r="X19" s="55"/>
      <c r="Y19" s="55"/>
      <c r="Z19" s="55"/>
    </row>
    <row r="20" spans="1:26" ht="15.75" customHeight="1">
      <c r="A20" s="56" t="s">
        <v>114</v>
      </c>
      <c r="B20" s="57">
        <v>44166</v>
      </c>
      <c r="C20" s="56">
        <v>26</v>
      </c>
      <c r="D20" s="58">
        <v>22900</v>
      </c>
      <c r="E20" s="58">
        <v>2911115</v>
      </c>
      <c r="F20" s="58">
        <f t="shared" si="0"/>
        <v>111965.96153846153</v>
      </c>
      <c r="G20" s="59">
        <f t="shared" si="1"/>
        <v>880.76923076923072</v>
      </c>
      <c r="H20" s="58">
        <v>2088885</v>
      </c>
      <c r="I20" s="60">
        <v>1500</v>
      </c>
      <c r="J20" s="61">
        <f t="shared" si="2"/>
        <v>1392.59</v>
      </c>
      <c r="K20" s="64">
        <v>52882</v>
      </c>
      <c r="L20" s="62">
        <v>2500</v>
      </c>
      <c r="M20" s="63">
        <f>K20/L20</f>
        <v>21.152799999999999</v>
      </c>
      <c r="N20" s="56"/>
      <c r="O20" s="60"/>
      <c r="P20" s="56"/>
      <c r="Q20" s="55"/>
      <c r="R20" s="55"/>
      <c r="S20" s="55"/>
      <c r="T20" s="55"/>
      <c r="U20" s="55"/>
      <c r="V20" s="55"/>
      <c r="W20" s="55"/>
      <c r="X20" s="55"/>
      <c r="Y20" s="55"/>
      <c r="Z20" s="55"/>
    </row>
    <row r="21" spans="1:26" ht="15.75" customHeight="1">
      <c r="A21" s="56" t="s">
        <v>115</v>
      </c>
      <c r="B21" s="57">
        <v>44183</v>
      </c>
      <c r="C21" s="56">
        <v>47</v>
      </c>
      <c r="D21" s="58">
        <v>38277</v>
      </c>
      <c r="E21" s="58">
        <v>5062810</v>
      </c>
      <c r="F21" s="58">
        <f t="shared" si="0"/>
        <v>107719.36170212766</v>
      </c>
      <c r="G21" s="59">
        <f t="shared" si="1"/>
        <v>814.40425531914889</v>
      </c>
      <c r="H21" s="58">
        <v>3603947</v>
      </c>
      <c r="I21" s="60">
        <v>3000</v>
      </c>
      <c r="J21" s="61">
        <f t="shared" si="2"/>
        <v>1201.3156666666666</v>
      </c>
      <c r="K21" s="56"/>
      <c r="L21" s="60"/>
      <c r="M21" s="63"/>
      <c r="N21" s="56"/>
      <c r="O21" s="60"/>
      <c r="P21" s="56"/>
      <c r="Q21" s="55"/>
      <c r="R21" s="55"/>
      <c r="S21" s="55"/>
      <c r="T21" s="55"/>
      <c r="U21" s="55"/>
      <c r="V21" s="55"/>
      <c r="W21" s="55"/>
      <c r="X21" s="55"/>
      <c r="Y21" s="55"/>
      <c r="Z21" s="55"/>
    </row>
    <row r="22" spans="1:26" ht="15.75" customHeight="1">
      <c r="A22" s="56" t="s">
        <v>116</v>
      </c>
      <c r="B22" s="65" t="s">
        <v>117</v>
      </c>
      <c r="C22" s="56">
        <v>3</v>
      </c>
      <c r="D22" s="56">
        <v>6740</v>
      </c>
      <c r="E22" s="58">
        <v>1139356</v>
      </c>
      <c r="F22" s="58">
        <f t="shared" si="0"/>
        <v>379785.33333333331</v>
      </c>
      <c r="G22" s="66">
        <f t="shared" si="1"/>
        <v>2246.6666666666665</v>
      </c>
      <c r="H22" s="67"/>
      <c r="I22" s="68"/>
      <c r="J22" s="55"/>
      <c r="K22" s="69"/>
      <c r="L22" s="60"/>
      <c r="M22" s="63"/>
      <c r="N22" s="56"/>
      <c r="O22" s="60"/>
      <c r="P22" s="56"/>
      <c r="Q22" s="55"/>
      <c r="R22" s="55"/>
      <c r="S22" s="55"/>
      <c r="T22" s="55"/>
      <c r="U22" s="55"/>
      <c r="V22" s="55"/>
      <c r="W22" s="55"/>
      <c r="X22" s="55"/>
      <c r="Y22" s="55"/>
      <c r="Z22" s="55"/>
    </row>
    <row r="23" spans="1:26" ht="15.75" customHeight="1">
      <c r="A23" s="56" t="s">
        <v>118</v>
      </c>
      <c r="B23" s="57">
        <v>44307</v>
      </c>
      <c r="C23" s="56">
        <v>6</v>
      </c>
      <c r="D23" s="56">
        <v>13000</v>
      </c>
      <c r="E23" s="58">
        <v>680042</v>
      </c>
      <c r="F23" s="58">
        <f t="shared" si="0"/>
        <v>113340.33333333333</v>
      </c>
      <c r="G23" s="66">
        <f t="shared" si="1"/>
        <v>2166.6666666666665</v>
      </c>
      <c r="H23" s="67">
        <v>15510344</v>
      </c>
      <c r="I23" s="68">
        <v>10025</v>
      </c>
      <c r="J23" s="70">
        <f>H23/I23</f>
        <v>1547.1664837905237</v>
      </c>
      <c r="K23" s="69"/>
      <c r="L23" s="60"/>
      <c r="M23" s="63"/>
      <c r="N23" s="69">
        <v>59540</v>
      </c>
      <c r="O23" s="60">
        <v>10025</v>
      </c>
      <c r="P23" s="63">
        <f>N23/O23</f>
        <v>5.939152119700748</v>
      </c>
      <c r="Q23" s="55"/>
      <c r="R23" s="55"/>
      <c r="S23" s="55"/>
      <c r="T23" s="55"/>
      <c r="U23" s="55"/>
      <c r="V23" s="55"/>
      <c r="W23" s="55"/>
      <c r="X23" s="55"/>
      <c r="Y23" s="55"/>
      <c r="Z23" s="55"/>
    </row>
    <row r="24" spans="1:26" ht="15.75" customHeight="1">
      <c r="A24" s="56" t="s">
        <v>119</v>
      </c>
      <c r="B24" s="57">
        <v>44295</v>
      </c>
      <c r="C24" s="56">
        <v>36</v>
      </c>
      <c r="D24" s="56">
        <v>39890</v>
      </c>
      <c r="E24" s="58">
        <v>1094570</v>
      </c>
      <c r="F24" s="58">
        <f t="shared" si="0"/>
        <v>30404.722222222223</v>
      </c>
      <c r="G24" s="66">
        <f t="shared" si="1"/>
        <v>1108.0555555555557</v>
      </c>
      <c r="H24" s="67">
        <v>4939413</v>
      </c>
      <c r="I24" s="71">
        <v>14200.14</v>
      </c>
      <c r="J24" s="70">
        <f>H24/I24</f>
        <v>347.84255648183751</v>
      </c>
      <c r="K24" s="69"/>
      <c r="L24" s="60"/>
      <c r="M24" s="63"/>
      <c r="N24" s="69">
        <v>50308</v>
      </c>
      <c r="O24" s="60">
        <v>10200.14</v>
      </c>
      <c r="P24" s="63">
        <f>N24/O24</f>
        <v>4.9320891674035847</v>
      </c>
      <c r="Q24" s="55"/>
      <c r="R24" s="55"/>
      <c r="S24" s="55"/>
      <c r="T24" s="55"/>
      <c r="U24" s="55"/>
      <c r="V24" s="55"/>
      <c r="W24" s="55"/>
      <c r="X24" s="55"/>
      <c r="Y24" s="55"/>
      <c r="Z24" s="55"/>
    </row>
    <row r="25" spans="1:26" ht="15.75" customHeight="1">
      <c r="A25" s="56" t="s">
        <v>120</v>
      </c>
      <c r="B25" s="57" t="s">
        <v>117</v>
      </c>
      <c r="C25" s="56">
        <v>34</v>
      </c>
      <c r="D25" s="56">
        <v>22548</v>
      </c>
      <c r="E25" s="58">
        <v>2305424</v>
      </c>
      <c r="F25" s="58">
        <f t="shared" si="0"/>
        <v>67806.588235294112</v>
      </c>
      <c r="G25" s="66">
        <f t="shared" si="1"/>
        <v>663.17647058823525</v>
      </c>
      <c r="H25" s="67">
        <v>2228161</v>
      </c>
      <c r="I25" s="68">
        <v>4500</v>
      </c>
      <c r="J25" s="70">
        <f>H25/I25</f>
        <v>495.1468888888889</v>
      </c>
      <c r="K25" s="69"/>
      <c r="L25" s="60"/>
      <c r="M25" s="63"/>
      <c r="N25" s="69">
        <v>9500</v>
      </c>
      <c r="O25" s="60">
        <v>2000</v>
      </c>
      <c r="P25" s="63">
        <f>N25/O25</f>
        <v>4.75</v>
      </c>
      <c r="Q25" s="55"/>
      <c r="R25" s="55"/>
      <c r="S25" s="55"/>
      <c r="T25" s="55"/>
      <c r="U25" s="55"/>
      <c r="V25" s="55"/>
      <c r="W25" s="55"/>
      <c r="X25" s="55"/>
      <c r="Y25" s="55"/>
      <c r="Z25" s="55"/>
    </row>
    <row r="26" spans="1:26" ht="15.75" customHeight="1">
      <c r="A26" s="56" t="s">
        <v>121</v>
      </c>
      <c r="B26" s="57">
        <v>44338</v>
      </c>
      <c r="C26" s="56">
        <v>14</v>
      </c>
      <c r="D26" s="56">
        <v>7049</v>
      </c>
      <c r="E26" s="58">
        <v>2130117</v>
      </c>
      <c r="F26" s="58">
        <f t="shared" si="0"/>
        <v>152151.21428571429</v>
      </c>
      <c r="G26" s="66">
        <f t="shared" si="1"/>
        <v>503.5</v>
      </c>
      <c r="H26" s="67">
        <v>1515385</v>
      </c>
      <c r="I26" s="68">
        <v>3000</v>
      </c>
      <c r="J26" s="70">
        <f>H26/I26</f>
        <v>505.12833333333333</v>
      </c>
      <c r="K26" s="69">
        <v>9044</v>
      </c>
      <c r="L26" s="62">
        <v>1000</v>
      </c>
      <c r="M26" s="63">
        <f>K26/L26</f>
        <v>9.0440000000000005</v>
      </c>
      <c r="N26" s="69"/>
      <c r="O26" s="60"/>
      <c r="P26" s="63"/>
      <c r="Q26" s="55"/>
      <c r="R26" s="55"/>
      <c r="S26" s="55"/>
      <c r="T26" s="55"/>
      <c r="U26" s="55"/>
      <c r="V26" s="55"/>
      <c r="W26" s="55"/>
      <c r="X26" s="55"/>
      <c r="Y26" s="55"/>
      <c r="Z26" s="55"/>
    </row>
    <row r="27" spans="1:26" ht="15.75" customHeight="1">
      <c r="A27" s="56" t="s">
        <v>122</v>
      </c>
      <c r="B27" s="57">
        <v>44338</v>
      </c>
      <c r="C27" s="56">
        <v>32</v>
      </c>
      <c r="D27" s="56">
        <v>55728</v>
      </c>
      <c r="E27" s="58">
        <v>2009658</v>
      </c>
      <c r="F27" s="58">
        <f t="shared" si="0"/>
        <v>62801.8125</v>
      </c>
      <c r="G27" s="66">
        <f t="shared" si="1"/>
        <v>1741.5</v>
      </c>
      <c r="H27" s="67"/>
      <c r="I27" s="68"/>
      <c r="J27" s="70"/>
      <c r="K27" s="69"/>
      <c r="L27" s="60"/>
      <c r="M27" s="63"/>
      <c r="N27" s="69">
        <v>16593</v>
      </c>
      <c r="O27" s="60">
        <v>5000</v>
      </c>
      <c r="P27" s="63">
        <f>N27/O27</f>
        <v>3.3186</v>
      </c>
      <c r="Q27" s="55"/>
      <c r="R27" s="55"/>
      <c r="S27" s="55"/>
      <c r="T27" s="55"/>
      <c r="U27" s="55"/>
      <c r="V27" s="55"/>
      <c r="W27" s="55"/>
      <c r="X27" s="55"/>
      <c r="Y27" s="55"/>
      <c r="Z27" s="55"/>
    </row>
    <row r="28" spans="1:26" ht="15.75" customHeight="1">
      <c r="A28" s="56" t="s">
        <v>123</v>
      </c>
      <c r="B28" s="57">
        <v>44356</v>
      </c>
      <c r="C28" s="56">
        <v>15</v>
      </c>
      <c r="D28" s="56">
        <v>13233</v>
      </c>
      <c r="E28" s="58">
        <v>1957925</v>
      </c>
      <c r="F28" s="58">
        <f t="shared" si="0"/>
        <v>130528.33333333333</v>
      </c>
      <c r="G28" s="66">
        <f t="shared" si="1"/>
        <v>882.2</v>
      </c>
      <c r="H28" s="67"/>
      <c r="I28" s="68"/>
      <c r="J28" s="70"/>
      <c r="K28" s="69"/>
      <c r="L28" s="60"/>
      <c r="M28" s="63"/>
      <c r="N28" s="69"/>
      <c r="O28" s="60"/>
      <c r="P28" s="63"/>
      <c r="Q28" s="55"/>
      <c r="R28" s="55"/>
      <c r="S28" s="55"/>
      <c r="T28" s="55"/>
      <c r="U28" s="55"/>
      <c r="V28" s="55"/>
      <c r="W28" s="55"/>
      <c r="X28" s="55"/>
      <c r="Y28" s="55"/>
      <c r="Z28" s="55"/>
    </row>
    <row r="29" spans="1:26" ht="15.75" customHeight="1">
      <c r="A29" s="56" t="s">
        <v>124</v>
      </c>
      <c r="B29" s="57">
        <v>44338</v>
      </c>
      <c r="C29" s="56">
        <v>36</v>
      </c>
      <c r="D29" s="56">
        <v>38874</v>
      </c>
      <c r="E29" s="58">
        <v>2538042</v>
      </c>
      <c r="F29" s="58">
        <f t="shared" si="0"/>
        <v>70501.166666666672</v>
      </c>
      <c r="G29" s="66">
        <f t="shared" si="1"/>
        <v>1079.8333333333333</v>
      </c>
      <c r="H29" s="72"/>
      <c r="I29" s="68"/>
      <c r="J29" s="70"/>
      <c r="K29" s="69"/>
      <c r="L29" s="60"/>
      <c r="M29" s="63"/>
      <c r="N29" s="69">
        <v>15794</v>
      </c>
      <c r="O29" s="60">
        <v>5000</v>
      </c>
      <c r="P29" s="63">
        <f>N29/O29</f>
        <v>3.1587999999999998</v>
      </c>
      <c r="Q29" s="55"/>
      <c r="R29" s="55"/>
      <c r="S29" s="55"/>
      <c r="T29" s="55"/>
      <c r="U29" s="55"/>
      <c r="V29" s="55"/>
      <c r="W29" s="55"/>
      <c r="X29" s="55"/>
      <c r="Y29" s="55"/>
      <c r="Z29" s="55"/>
    </row>
    <row r="30" spans="1:26" ht="15.75" customHeight="1">
      <c r="A30" s="56" t="s">
        <v>125</v>
      </c>
      <c r="B30" s="57">
        <v>44367</v>
      </c>
      <c r="C30" s="56">
        <v>40</v>
      </c>
      <c r="D30" s="56">
        <v>24088</v>
      </c>
      <c r="E30" s="58">
        <v>2178310</v>
      </c>
      <c r="F30" s="58">
        <f t="shared" si="0"/>
        <v>54457.75</v>
      </c>
      <c r="G30" s="66">
        <f t="shared" si="1"/>
        <v>602.20000000000005</v>
      </c>
      <c r="H30" s="67">
        <v>5257759</v>
      </c>
      <c r="I30" s="68">
        <v>9100</v>
      </c>
      <c r="J30" s="70">
        <f t="shared" ref="J30:J54" si="3">H30/I30</f>
        <v>577.77571428571423</v>
      </c>
      <c r="K30" s="69"/>
      <c r="L30" s="60"/>
      <c r="M30" s="63"/>
      <c r="N30" s="69"/>
      <c r="O30" s="60"/>
      <c r="P30" s="63"/>
      <c r="Q30" s="55"/>
      <c r="R30" s="55"/>
      <c r="S30" s="55"/>
      <c r="T30" s="55"/>
      <c r="U30" s="55"/>
      <c r="V30" s="55"/>
      <c r="W30" s="55"/>
      <c r="X30" s="55"/>
      <c r="Y30" s="55"/>
      <c r="Z30" s="55"/>
    </row>
    <row r="31" spans="1:26" ht="15.75" customHeight="1">
      <c r="A31" s="56" t="s">
        <v>126</v>
      </c>
      <c r="B31" s="57">
        <v>44377</v>
      </c>
      <c r="C31" s="56">
        <v>34</v>
      </c>
      <c r="D31" s="56">
        <v>105193</v>
      </c>
      <c r="E31" s="58">
        <v>5225596</v>
      </c>
      <c r="F31" s="58">
        <f t="shared" si="0"/>
        <v>153694</v>
      </c>
      <c r="G31" s="66">
        <f t="shared" si="1"/>
        <v>3093.9117647058824</v>
      </c>
      <c r="H31" s="67">
        <v>2701753</v>
      </c>
      <c r="I31" s="73">
        <v>4000</v>
      </c>
      <c r="J31" s="70">
        <f t="shared" si="3"/>
        <v>675.43825000000004</v>
      </c>
      <c r="K31" s="69"/>
      <c r="L31" s="60"/>
      <c r="M31" s="63"/>
      <c r="N31" s="69"/>
      <c r="O31" s="60"/>
      <c r="P31" s="63"/>
      <c r="Q31" s="55"/>
      <c r="R31" s="55"/>
      <c r="S31" s="55"/>
      <c r="T31" s="55"/>
      <c r="U31" s="55"/>
      <c r="V31" s="55"/>
      <c r="W31" s="55"/>
      <c r="X31" s="55"/>
      <c r="Y31" s="55"/>
      <c r="Z31" s="55"/>
    </row>
    <row r="32" spans="1:26" ht="15.75" customHeight="1">
      <c r="A32" s="56" t="s">
        <v>127</v>
      </c>
      <c r="B32" s="57">
        <v>44382</v>
      </c>
      <c r="C32" s="56">
        <v>8</v>
      </c>
      <c r="D32" s="56">
        <v>5998</v>
      </c>
      <c r="E32" s="58">
        <v>389925</v>
      </c>
      <c r="F32" s="58">
        <f t="shared" si="0"/>
        <v>48740.625</v>
      </c>
      <c r="G32" s="66">
        <f t="shared" si="1"/>
        <v>749.75</v>
      </c>
      <c r="H32" s="67">
        <v>2414610</v>
      </c>
      <c r="I32" s="68">
        <v>2231</v>
      </c>
      <c r="J32" s="70">
        <f t="shared" si="3"/>
        <v>1082.2994173016584</v>
      </c>
      <c r="K32" s="69"/>
      <c r="L32" s="60"/>
      <c r="M32" s="63"/>
      <c r="N32" s="69"/>
      <c r="O32" s="60"/>
      <c r="P32" s="63"/>
      <c r="Q32" s="55"/>
      <c r="R32" s="55"/>
      <c r="S32" s="55"/>
      <c r="T32" s="55"/>
      <c r="U32" s="55"/>
      <c r="V32" s="55"/>
      <c r="W32" s="55"/>
      <c r="X32" s="55"/>
      <c r="Y32" s="55"/>
      <c r="Z32" s="55"/>
    </row>
    <row r="33" spans="1:26" ht="15.75" customHeight="1">
      <c r="A33" s="56" t="s">
        <v>128</v>
      </c>
      <c r="B33" s="57">
        <v>44372</v>
      </c>
      <c r="C33" s="56">
        <v>5</v>
      </c>
      <c r="D33" s="56">
        <v>6482</v>
      </c>
      <c r="E33" s="58">
        <v>192769</v>
      </c>
      <c r="F33" s="58">
        <f t="shared" si="0"/>
        <v>38553.800000000003</v>
      </c>
      <c r="G33" s="66">
        <f t="shared" si="1"/>
        <v>1296.4000000000001</v>
      </c>
      <c r="H33" s="74">
        <v>2032265</v>
      </c>
      <c r="I33" s="68">
        <v>1738</v>
      </c>
      <c r="J33" s="70">
        <f t="shared" si="3"/>
        <v>1169.3124280782508</v>
      </c>
      <c r="K33" s="69"/>
      <c r="L33" s="60"/>
      <c r="M33" s="63"/>
      <c r="N33" s="69"/>
      <c r="O33" s="60"/>
      <c r="P33" s="63"/>
      <c r="Q33" s="55"/>
      <c r="R33" s="55"/>
      <c r="S33" s="55"/>
      <c r="T33" s="55"/>
      <c r="U33" s="55"/>
      <c r="V33" s="55"/>
      <c r="W33" s="55"/>
      <c r="X33" s="55"/>
      <c r="Y33" s="55"/>
      <c r="Z33" s="55"/>
    </row>
    <row r="34" spans="1:26" ht="15.75" customHeight="1">
      <c r="A34" s="56" t="s">
        <v>129</v>
      </c>
      <c r="B34" s="57">
        <v>44377</v>
      </c>
      <c r="C34" s="56">
        <v>44</v>
      </c>
      <c r="D34" s="56">
        <v>78921</v>
      </c>
      <c r="E34" s="58">
        <v>5029996</v>
      </c>
      <c r="F34" s="58">
        <f t="shared" si="0"/>
        <v>114318.09090909091</v>
      </c>
      <c r="G34" s="66">
        <f t="shared" si="1"/>
        <v>1793.659090909091</v>
      </c>
      <c r="H34" s="74">
        <v>1738553</v>
      </c>
      <c r="I34" s="68">
        <v>2500</v>
      </c>
      <c r="J34" s="70">
        <f t="shared" si="3"/>
        <v>695.4212</v>
      </c>
      <c r="K34" s="69"/>
      <c r="L34" s="60"/>
      <c r="M34" s="63"/>
      <c r="N34" s="69"/>
      <c r="O34" s="60"/>
      <c r="P34" s="63"/>
      <c r="Q34" s="55"/>
      <c r="R34" s="55"/>
      <c r="S34" s="55"/>
      <c r="T34" s="55"/>
      <c r="U34" s="55"/>
      <c r="V34" s="55"/>
      <c r="W34" s="55"/>
      <c r="X34" s="55"/>
      <c r="Y34" s="55"/>
      <c r="Z34" s="55"/>
    </row>
    <row r="35" spans="1:26" ht="15.75" customHeight="1">
      <c r="A35" s="56" t="s">
        <v>100</v>
      </c>
      <c r="B35" s="57">
        <v>44382</v>
      </c>
      <c r="C35" s="56">
        <v>10</v>
      </c>
      <c r="D35" s="56">
        <v>21982</v>
      </c>
      <c r="E35" s="58">
        <v>4183479</v>
      </c>
      <c r="F35" s="58">
        <f t="shared" si="0"/>
        <v>418347.9</v>
      </c>
      <c r="G35" s="66">
        <f t="shared" si="1"/>
        <v>2198.1999999999998</v>
      </c>
      <c r="H35" s="67">
        <v>3229200</v>
      </c>
      <c r="I35" s="68">
        <v>5000</v>
      </c>
      <c r="J35" s="70">
        <f t="shared" si="3"/>
        <v>645.84</v>
      </c>
      <c r="K35" s="69"/>
      <c r="L35" s="60"/>
      <c r="M35" s="63"/>
      <c r="N35" s="69">
        <v>12769</v>
      </c>
      <c r="O35" s="60">
        <v>3390.23</v>
      </c>
      <c r="P35" s="63">
        <f>N35/O35</f>
        <v>3.7664111284485124</v>
      </c>
      <c r="Q35" s="55"/>
      <c r="R35" s="55"/>
      <c r="S35" s="55"/>
      <c r="T35" s="55"/>
      <c r="U35" s="55"/>
      <c r="V35" s="55"/>
      <c r="W35" s="55"/>
      <c r="X35" s="55"/>
      <c r="Y35" s="55"/>
      <c r="Z35" s="55"/>
    </row>
    <row r="36" spans="1:26" ht="15.75" customHeight="1">
      <c r="A36" s="56" t="s">
        <v>130</v>
      </c>
      <c r="B36" s="57">
        <v>44378</v>
      </c>
      <c r="C36" s="56">
        <v>24</v>
      </c>
      <c r="D36" s="56">
        <v>30627</v>
      </c>
      <c r="E36" s="58">
        <v>1269550</v>
      </c>
      <c r="F36" s="58">
        <f t="shared" si="0"/>
        <v>52897.916666666664</v>
      </c>
      <c r="G36" s="66">
        <f t="shared" si="1"/>
        <v>1276.125</v>
      </c>
      <c r="H36" s="67">
        <v>4388623</v>
      </c>
      <c r="I36" s="68">
        <v>2819</v>
      </c>
      <c r="J36" s="70">
        <f t="shared" si="3"/>
        <v>1556.8013479957431</v>
      </c>
      <c r="K36" s="69"/>
      <c r="L36" s="60"/>
      <c r="M36" s="63"/>
      <c r="N36" s="69">
        <v>19896</v>
      </c>
      <c r="O36" s="60">
        <v>3000</v>
      </c>
      <c r="P36" s="63">
        <f>N36/O36</f>
        <v>6.6319999999999997</v>
      </c>
      <c r="Q36" s="55"/>
      <c r="R36" s="55"/>
      <c r="S36" s="55"/>
      <c r="T36" s="55"/>
      <c r="U36" s="55"/>
      <c r="V36" s="55"/>
      <c r="W36" s="55"/>
      <c r="X36" s="55"/>
      <c r="Y36" s="55"/>
      <c r="Z36" s="55"/>
    </row>
    <row r="37" spans="1:26" ht="15.75" customHeight="1">
      <c r="A37" s="56" t="s">
        <v>131</v>
      </c>
      <c r="B37" s="57">
        <v>44378</v>
      </c>
      <c r="C37" s="56">
        <v>18</v>
      </c>
      <c r="D37" s="56">
        <v>23740</v>
      </c>
      <c r="E37" s="58">
        <v>1135994</v>
      </c>
      <c r="F37" s="58">
        <f t="shared" si="0"/>
        <v>63110.777777777781</v>
      </c>
      <c r="G37" s="66">
        <f t="shared" si="1"/>
        <v>1318.8888888888889</v>
      </c>
      <c r="H37" s="67">
        <v>3931788</v>
      </c>
      <c r="I37" s="68">
        <v>3700</v>
      </c>
      <c r="J37" s="70">
        <f t="shared" si="3"/>
        <v>1062.6454054054054</v>
      </c>
      <c r="K37" s="69">
        <v>20699</v>
      </c>
      <c r="L37" s="60">
        <v>1300</v>
      </c>
      <c r="M37" s="63">
        <f>K37/L37</f>
        <v>15.922307692307692</v>
      </c>
      <c r="N37" s="69"/>
      <c r="O37" s="60"/>
      <c r="P37" s="63"/>
      <c r="Q37" s="55"/>
      <c r="R37" s="55"/>
      <c r="S37" s="55"/>
      <c r="T37" s="55"/>
      <c r="U37" s="55"/>
      <c r="V37" s="55"/>
      <c r="W37" s="55"/>
      <c r="X37" s="55"/>
      <c r="Y37" s="55"/>
      <c r="Z37" s="55"/>
    </row>
    <row r="38" spans="1:26" ht="15.75" customHeight="1">
      <c r="A38" s="56" t="s">
        <v>132</v>
      </c>
      <c r="B38" s="57">
        <v>44408</v>
      </c>
      <c r="C38" s="56">
        <v>26</v>
      </c>
      <c r="D38" s="56">
        <v>36623</v>
      </c>
      <c r="E38" s="58">
        <v>2110110</v>
      </c>
      <c r="F38" s="58">
        <f t="shared" si="0"/>
        <v>81158.076923076922</v>
      </c>
      <c r="G38" s="66">
        <f t="shared" si="1"/>
        <v>1408.5769230769231</v>
      </c>
      <c r="H38" s="67">
        <v>4558068</v>
      </c>
      <c r="I38" s="75">
        <v>5000</v>
      </c>
      <c r="J38" s="70">
        <f t="shared" si="3"/>
        <v>911.61360000000002</v>
      </c>
      <c r="K38" s="69"/>
      <c r="L38" s="60"/>
      <c r="M38" s="63"/>
      <c r="N38" s="69">
        <v>20912</v>
      </c>
      <c r="O38" s="60">
        <v>8000</v>
      </c>
      <c r="P38" s="63">
        <f>N38/O38</f>
        <v>2.6139999999999999</v>
      </c>
      <c r="Q38" s="55"/>
      <c r="R38" s="55"/>
      <c r="S38" s="55"/>
      <c r="T38" s="55"/>
      <c r="U38" s="55"/>
      <c r="V38" s="55"/>
      <c r="W38" s="55"/>
      <c r="X38" s="55"/>
      <c r="Y38" s="55"/>
      <c r="Z38" s="55"/>
    </row>
    <row r="39" spans="1:26" ht="15.75" customHeight="1">
      <c r="A39" s="56" t="s">
        <v>133</v>
      </c>
      <c r="B39" s="57">
        <v>44383</v>
      </c>
      <c r="C39" s="56">
        <v>26</v>
      </c>
      <c r="D39" s="56">
        <v>908338</v>
      </c>
      <c r="E39" s="58">
        <v>2445720</v>
      </c>
      <c r="F39" s="58">
        <f t="shared" si="0"/>
        <v>94066.153846153844</v>
      </c>
      <c r="G39" s="66">
        <f t="shared" si="1"/>
        <v>34936.076923076922</v>
      </c>
      <c r="H39" s="74">
        <v>2158468</v>
      </c>
      <c r="I39" s="68">
        <v>2941.53</v>
      </c>
      <c r="J39" s="70">
        <f t="shared" si="3"/>
        <v>733.79091833161647</v>
      </c>
      <c r="K39" s="69"/>
      <c r="L39" s="60"/>
      <c r="M39" s="63"/>
      <c r="N39" s="69"/>
      <c r="O39" s="60"/>
      <c r="P39" s="63"/>
      <c r="Q39" s="55"/>
      <c r="R39" s="55"/>
      <c r="S39" s="55"/>
      <c r="T39" s="55"/>
      <c r="U39" s="55"/>
      <c r="V39" s="55"/>
      <c r="W39" s="55"/>
      <c r="X39" s="55"/>
      <c r="Y39" s="55"/>
      <c r="Z39" s="55"/>
    </row>
    <row r="40" spans="1:26" ht="15.75" customHeight="1">
      <c r="A40" s="76" t="s">
        <v>134</v>
      </c>
      <c r="B40" s="77">
        <v>44396</v>
      </c>
      <c r="C40" s="76">
        <v>40</v>
      </c>
      <c r="D40" s="76">
        <v>24138</v>
      </c>
      <c r="E40" s="78">
        <v>2883530</v>
      </c>
      <c r="F40" s="78">
        <f t="shared" si="0"/>
        <v>72088.25</v>
      </c>
      <c r="G40" s="66">
        <f t="shared" si="1"/>
        <v>603.45000000000005</v>
      </c>
      <c r="H40" s="74">
        <v>1024627</v>
      </c>
      <c r="I40" s="68">
        <v>1500</v>
      </c>
      <c r="J40" s="70">
        <f t="shared" si="3"/>
        <v>683.08466666666664</v>
      </c>
      <c r="K40" s="79"/>
      <c r="L40" s="80"/>
      <c r="M40" s="81"/>
      <c r="N40" s="79"/>
      <c r="O40" s="80"/>
      <c r="P40" s="81"/>
      <c r="Q40" s="55"/>
      <c r="R40" s="55"/>
      <c r="S40" s="55"/>
      <c r="T40" s="55"/>
      <c r="U40" s="55"/>
      <c r="V40" s="55"/>
      <c r="W40" s="55"/>
      <c r="X40" s="55"/>
      <c r="Y40" s="55"/>
      <c r="Z40" s="55"/>
    </row>
    <row r="41" spans="1:26" ht="15.75" customHeight="1">
      <c r="A41" s="82" t="s">
        <v>135</v>
      </c>
      <c r="B41" s="83">
        <v>44455</v>
      </c>
      <c r="C41" s="82">
        <v>36</v>
      </c>
      <c r="D41" s="84">
        <v>29279</v>
      </c>
      <c r="E41" s="84">
        <v>6560570</v>
      </c>
      <c r="F41" s="85">
        <f t="shared" si="0"/>
        <v>182238.05555555556</v>
      </c>
      <c r="G41" s="85">
        <f t="shared" si="1"/>
        <v>813.30555555555554</v>
      </c>
      <c r="H41" s="84">
        <v>1878100</v>
      </c>
      <c r="I41" s="86">
        <v>4000</v>
      </c>
      <c r="J41" s="87">
        <f t="shared" si="3"/>
        <v>469.52499999999998</v>
      </c>
      <c r="K41" s="84"/>
      <c r="L41" s="82"/>
      <c r="M41" s="88"/>
      <c r="N41" s="84">
        <v>8161</v>
      </c>
      <c r="O41" s="89">
        <v>2000</v>
      </c>
      <c r="P41" s="88">
        <f>N41/O41</f>
        <v>4.0804999999999998</v>
      </c>
      <c r="Q41" s="90"/>
      <c r="R41" s="90"/>
      <c r="S41" s="90"/>
      <c r="T41" s="90"/>
      <c r="U41" s="90"/>
      <c r="V41" s="90"/>
      <c r="W41" s="90"/>
      <c r="X41" s="90"/>
      <c r="Y41" s="90"/>
      <c r="Z41" s="90"/>
    </row>
    <row r="42" spans="1:26" ht="15.75" customHeight="1">
      <c r="A42" s="82" t="s">
        <v>136</v>
      </c>
      <c r="B42" s="83">
        <v>44344</v>
      </c>
      <c r="C42" s="82">
        <v>6</v>
      </c>
      <c r="D42" s="84">
        <v>19303</v>
      </c>
      <c r="E42" s="84">
        <v>257585</v>
      </c>
      <c r="F42" s="85">
        <f t="shared" si="0"/>
        <v>42930.833333333336</v>
      </c>
      <c r="G42" s="85">
        <f t="shared" si="1"/>
        <v>3217.1666666666665</v>
      </c>
      <c r="H42" s="84">
        <v>1588977</v>
      </c>
      <c r="I42" s="89">
        <v>9000</v>
      </c>
      <c r="J42" s="87">
        <f t="shared" si="3"/>
        <v>176.553</v>
      </c>
      <c r="K42" s="84">
        <v>0</v>
      </c>
      <c r="L42" s="84">
        <v>0</v>
      </c>
      <c r="M42" s="88"/>
      <c r="N42" s="84">
        <v>13256</v>
      </c>
      <c r="O42" s="89">
        <v>2000</v>
      </c>
      <c r="P42" s="88">
        <f>N42/O42</f>
        <v>6.6280000000000001</v>
      </c>
      <c r="Q42" s="90"/>
      <c r="R42" s="90"/>
      <c r="S42" s="90"/>
      <c r="T42" s="90"/>
      <c r="U42" s="90"/>
      <c r="V42" s="90"/>
      <c r="W42" s="90"/>
      <c r="X42" s="90"/>
      <c r="Y42" s="90"/>
      <c r="Z42" s="90"/>
    </row>
    <row r="43" spans="1:26" ht="15.75" customHeight="1">
      <c r="A43" s="82" t="s">
        <v>137</v>
      </c>
      <c r="B43" s="83">
        <v>44561</v>
      </c>
      <c r="C43" s="82">
        <v>56</v>
      </c>
      <c r="D43" s="84">
        <v>48004</v>
      </c>
      <c r="E43" s="84">
        <v>2946446</v>
      </c>
      <c r="F43" s="85">
        <f t="shared" si="0"/>
        <v>52615.107142857145</v>
      </c>
      <c r="G43" s="85">
        <f t="shared" si="1"/>
        <v>857.21428571428567</v>
      </c>
      <c r="H43" s="84">
        <v>2365106</v>
      </c>
      <c r="I43" s="89">
        <v>5000</v>
      </c>
      <c r="J43" s="87">
        <f t="shared" si="3"/>
        <v>473.02120000000002</v>
      </c>
      <c r="K43" s="84">
        <v>0</v>
      </c>
      <c r="L43" s="82" t="s">
        <v>138</v>
      </c>
      <c r="M43" s="88"/>
      <c r="N43" s="84">
        <v>22152</v>
      </c>
      <c r="O43" s="89">
        <v>2500</v>
      </c>
      <c r="P43" s="88">
        <f>N43/O43</f>
        <v>8.8607999999999993</v>
      </c>
      <c r="Q43" s="90"/>
      <c r="R43" s="90"/>
      <c r="S43" s="90"/>
      <c r="T43" s="90"/>
      <c r="U43" s="90"/>
      <c r="V43" s="90"/>
      <c r="W43" s="90"/>
      <c r="X43" s="90"/>
      <c r="Y43" s="90"/>
      <c r="Z43" s="90"/>
    </row>
    <row r="44" spans="1:26" ht="15.75" customHeight="1">
      <c r="A44" s="82" t="s">
        <v>139</v>
      </c>
      <c r="B44" s="83">
        <v>44512</v>
      </c>
      <c r="C44" s="82">
        <v>16</v>
      </c>
      <c r="D44" s="84">
        <v>11931</v>
      </c>
      <c r="E44" s="84">
        <v>1589428</v>
      </c>
      <c r="F44" s="85">
        <f t="shared" si="0"/>
        <v>99339.25</v>
      </c>
      <c r="G44" s="85">
        <f t="shared" si="1"/>
        <v>745.6875</v>
      </c>
      <c r="H44" s="84">
        <v>1908308</v>
      </c>
      <c r="I44" s="89">
        <v>4000</v>
      </c>
      <c r="J44" s="87">
        <f t="shared" si="3"/>
        <v>477.077</v>
      </c>
      <c r="K44" s="84">
        <v>0</v>
      </c>
      <c r="L44" s="82" t="s">
        <v>138</v>
      </c>
      <c r="M44" s="88"/>
      <c r="N44" s="84" t="s">
        <v>138</v>
      </c>
      <c r="O44" s="89"/>
      <c r="P44" s="88"/>
      <c r="Q44" s="90"/>
      <c r="R44" s="90"/>
      <c r="S44" s="90"/>
      <c r="T44" s="90"/>
      <c r="U44" s="90"/>
      <c r="V44" s="90"/>
      <c r="W44" s="90"/>
      <c r="X44" s="90"/>
      <c r="Y44" s="90"/>
      <c r="Z44" s="90"/>
    </row>
    <row r="45" spans="1:26" ht="15.75" customHeight="1">
      <c r="A45" s="82" t="s">
        <v>140</v>
      </c>
      <c r="B45" s="83">
        <v>44428</v>
      </c>
      <c r="C45" s="82">
        <v>18</v>
      </c>
      <c r="D45" s="84">
        <v>152181</v>
      </c>
      <c r="E45" s="84">
        <v>3552338</v>
      </c>
      <c r="F45" s="85">
        <f t="shared" si="0"/>
        <v>197352.11111111112</v>
      </c>
      <c r="G45" s="85">
        <f t="shared" si="1"/>
        <v>8454.5</v>
      </c>
      <c r="H45" s="84">
        <v>987075</v>
      </c>
      <c r="I45" s="89">
        <v>1500</v>
      </c>
      <c r="J45" s="87">
        <f t="shared" si="3"/>
        <v>658.05</v>
      </c>
      <c r="K45" s="84">
        <v>0</v>
      </c>
      <c r="L45" s="82" t="s">
        <v>138</v>
      </c>
      <c r="M45" s="88"/>
      <c r="N45" s="84"/>
      <c r="O45" s="89"/>
      <c r="P45" s="88"/>
      <c r="Q45" s="90"/>
      <c r="R45" s="90"/>
      <c r="S45" s="90"/>
      <c r="T45" s="90"/>
      <c r="U45" s="90"/>
      <c r="V45" s="90"/>
      <c r="W45" s="90"/>
      <c r="X45" s="90"/>
      <c r="Y45" s="90"/>
      <c r="Z45" s="90"/>
    </row>
    <row r="46" spans="1:26" ht="15.75" customHeight="1">
      <c r="A46" s="82" t="s">
        <v>141</v>
      </c>
      <c r="B46" s="83">
        <v>44417</v>
      </c>
      <c r="C46" s="82">
        <v>16</v>
      </c>
      <c r="D46" s="84">
        <v>39015</v>
      </c>
      <c r="E46" s="84">
        <v>2946496</v>
      </c>
      <c r="F46" s="85">
        <f t="shared" si="0"/>
        <v>184156</v>
      </c>
      <c r="G46" s="85">
        <f t="shared" si="1"/>
        <v>2438.4375</v>
      </c>
      <c r="H46" s="84">
        <v>767892</v>
      </c>
      <c r="I46" s="89">
        <v>2567</v>
      </c>
      <c r="J46" s="87">
        <f t="shared" si="3"/>
        <v>299.13985196727697</v>
      </c>
      <c r="K46" s="84">
        <v>29043</v>
      </c>
      <c r="L46" s="84">
        <v>2567</v>
      </c>
      <c r="M46" s="88">
        <f>K46/L46</f>
        <v>11.313985196727698</v>
      </c>
      <c r="N46" s="84" t="s">
        <v>138</v>
      </c>
      <c r="O46" s="89"/>
      <c r="P46" s="88"/>
      <c r="Q46" s="90"/>
      <c r="R46" s="90"/>
      <c r="S46" s="90"/>
      <c r="T46" s="90"/>
      <c r="U46" s="90"/>
      <c r="V46" s="90"/>
      <c r="W46" s="90"/>
      <c r="X46" s="90"/>
      <c r="Y46" s="90"/>
      <c r="Z46" s="90"/>
    </row>
    <row r="47" spans="1:26" ht="15.75" customHeight="1">
      <c r="A47" s="82" t="s">
        <v>142</v>
      </c>
      <c r="B47" s="83">
        <v>44558</v>
      </c>
      <c r="C47" s="82">
        <v>29</v>
      </c>
      <c r="D47" s="84">
        <v>38691</v>
      </c>
      <c r="E47" s="84">
        <v>4508454</v>
      </c>
      <c r="F47" s="85">
        <f t="shared" si="0"/>
        <v>155463.93103448275</v>
      </c>
      <c r="G47" s="85">
        <f t="shared" si="1"/>
        <v>1334.1724137931035</v>
      </c>
      <c r="H47" s="84">
        <v>6112230</v>
      </c>
      <c r="I47" s="89">
        <v>10000</v>
      </c>
      <c r="J47" s="87">
        <f t="shared" si="3"/>
        <v>611.22299999999996</v>
      </c>
      <c r="K47" s="84">
        <v>0</v>
      </c>
      <c r="L47" s="84">
        <v>0</v>
      </c>
      <c r="M47" s="88"/>
      <c r="N47" s="84">
        <v>19136</v>
      </c>
      <c r="O47" s="89">
        <v>5000</v>
      </c>
      <c r="P47" s="88">
        <f>N47/O47</f>
        <v>3.8271999999999999</v>
      </c>
      <c r="Q47" s="90"/>
      <c r="R47" s="90"/>
      <c r="S47" s="90"/>
      <c r="T47" s="90"/>
      <c r="U47" s="90"/>
      <c r="V47" s="90"/>
      <c r="W47" s="90"/>
      <c r="X47" s="90"/>
      <c r="Y47" s="90"/>
      <c r="Z47" s="90"/>
    </row>
    <row r="48" spans="1:26" ht="15.75" customHeight="1">
      <c r="A48" s="82" t="s">
        <v>143</v>
      </c>
      <c r="B48" s="83">
        <v>44562</v>
      </c>
      <c r="C48" s="82">
        <v>61</v>
      </c>
      <c r="D48" s="84">
        <v>96022</v>
      </c>
      <c r="E48" s="84">
        <v>10390886</v>
      </c>
      <c r="F48" s="85">
        <f t="shared" si="0"/>
        <v>170342.39344262294</v>
      </c>
      <c r="G48" s="85">
        <f t="shared" si="1"/>
        <v>1574.1311475409836</v>
      </c>
      <c r="H48" s="84">
        <v>3467290</v>
      </c>
      <c r="I48" s="89">
        <v>5020</v>
      </c>
      <c r="J48" s="87">
        <f t="shared" si="3"/>
        <v>690.69521912350592</v>
      </c>
      <c r="K48" s="84">
        <v>48806</v>
      </c>
      <c r="L48" s="89">
        <v>4479</v>
      </c>
      <c r="M48" s="88">
        <f>K48/L48</f>
        <v>10.896628711766018</v>
      </c>
      <c r="N48" s="84">
        <v>0</v>
      </c>
      <c r="O48" s="89">
        <v>0</v>
      </c>
      <c r="P48" s="88"/>
      <c r="Q48" s="90"/>
      <c r="R48" s="90"/>
      <c r="S48" s="90"/>
      <c r="T48" s="90"/>
      <c r="U48" s="90"/>
      <c r="V48" s="90"/>
      <c r="W48" s="90"/>
      <c r="X48" s="90"/>
      <c r="Y48" s="90"/>
      <c r="Z48" s="90"/>
    </row>
    <row r="49" spans="1:26" ht="15.75" customHeight="1">
      <c r="A49" s="82" t="s">
        <v>144</v>
      </c>
      <c r="B49" s="83">
        <v>44433</v>
      </c>
      <c r="C49" s="82">
        <v>5</v>
      </c>
      <c r="D49" s="84">
        <v>22493</v>
      </c>
      <c r="E49" s="84">
        <v>961171</v>
      </c>
      <c r="F49" s="85">
        <f t="shared" si="0"/>
        <v>192234.2</v>
      </c>
      <c r="G49" s="85">
        <f t="shared" si="1"/>
        <v>4498.6000000000004</v>
      </c>
      <c r="H49" s="84">
        <v>1751932</v>
      </c>
      <c r="I49" s="89">
        <v>2000</v>
      </c>
      <c r="J49" s="87">
        <f t="shared" si="3"/>
        <v>875.96600000000001</v>
      </c>
      <c r="K49" s="84">
        <v>0</v>
      </c>
      <c r="L49" s="89">
        <v>0</v>
      </c>
      <c r="M49" s="88"/>
      <c r="N49" s="84">
        <v>13256</v>
      </c>
      <c r="O49" s="89">
        <v>2000</v>
      </c>
      <c r="P49" s="88">
        <f>N49/O49</f>
        <v>6.6280000000000001</v>
      </c>
      <c r="Q49" s="90"/>
      <c r="R49" s="90"/>
      <c r="S49" s="90"/>
      <c r="T49" s="90"/>
      <c r="U49" s="90"/>
      <c r="V49" s="90"/>
      <c r="W49" s="90"/>
      <c r="X49" s="90"/>
      <c r="Y49" s="90"/>
      <c r="Z49" s="90"/>
    </row>
    <row r="50" spans="1:26" ht="15.75" customHeight="1">
      <c r="A50" s="82" t="s">
        <v>145</v>
      </c>
      <c r="B50" s="83">
        <v>44467</v>
      </c>
      <c r="C50" s="82">
        <v>43</v>
      </c>
      <c r="D50" s="84">
        <v>37607</v>
      </c>
      <c r="E50" s="84">
        <v>2834949</v>
      </c>
      <c r="F50" s="85">
        <f t="shared" si="0"/>
        <v>65929.046511627908</v>
      </c>
      <c r="G50" s="85">
        <f t="shared" si="1"/>
        <v>874.58139534883719</v>
      </c>
      <c r="H50" s="84">
        <v>1986066</v>
      </c>
      <c r="I50" s="89">
        <v>2000</v>
      </c>
      <c r="J50" s="87">
        <f t="shared" si="3"/>
        <v>993.03300000000002</v>
      </c>
      <c r="K50" s="84">
        <v>0</v>
      </c>
      <c r="L50" s="89">
        <v>0</v>
      </c>
      <c r="M50" s="88"/>
      <c r="N50" s="84">
        <v>16210</v>
      </c>
      <c r="O50" s="89">
        <v>5000</v>
      </c>
      <c r="P50" s="88">
        <f>N50/O50</f>
        <v>3.242</v>
      </c>
      <c r="Q50" s="90"/>
      <c r="R50" s="90"/>
      <c r="S50" s="90"/>
      <c r="T50" s="90"/>
      <c r="U50" s="90"/>
      <c r="V50" s="90"/>
      <c r="W50" s="90"/>
      <c r="X50" s="90"/>
      <c r="Y50" s="90"/>
      <c r="Z50" s="90"/>
    </row>
    <row r="51" spans="1:26" ht="15.75" customHeight="1">
      <c r="A51" s="82" t="s">
        <v>146</v>
      </c>
      <c r="B51" s="83">
        <v>44496</v>
      </c>
      <c r="C51" s="82">
        <v>11</v>
      </c>
      <c r="D51" s="84">
        <v>50179</v>
      </c>
      <c r="E51" s="84">
        <v>7233112</v>
      </c>
      <c r="F51" s="85">
        <f t="shared" si="0"/>
        <v>657555.63636363635</v>
      </c>
      <c r="G51" s="85">
        <f t="shared" si="1"/>
        <v>4561.727272727273</v>
      </c>
      <c r="H51" s="84">
        <v>1878900</v>
      </c>
      <c r="I51" s="89">
        <v>4000</v>
      </c>
      <c r="J51" s="87">
        <f t="shared" si="3"/>
        <v>469.72500000000002</v>
      </c>
      <c r="K51" s="84">
        <v>0</v>
      </c>
      <c r="L51" s="89">
        <v>0</v>
      </c>
      <c r="M51" s="88"/>
      <c r="N51" s="84">
        <v>0</v>
      </c>
      <c r="O51" s="89"/>
      <c r="P51" s="88"/>
      <c r="Q51" s="90"/>
      <c r="R51" s="90"/>
      <c r="S51" s="90"/>
      <c r="T51" s="90"/>
      <c r="U51" s="90"/>
      <c r="V51" s="90"/>
      <c r="W51" s="90"/>
      <c r="X51" s="90"/>
      <c r="Y51" s="90"/>
      <c r="Z51" s="90"/>
    </row>
    <row r="52" spans="1:26" ht="15.75" customHeight="1">
      <c r="A52" s="82" t="s">
        <v>147</v>
      </c>
      <c r="B52" s="83">
        <v>44561</v>
      </c>
      <c r="C52" s="82">
        <v>23</v>
      </c>
      <c r="D52" s="84">
        <v>713208</v>
      </c>
      <c r="E52" s="84">
        <v>4876112</v>
      </c>
      <c r="F52" s="85">
        <f t="shared" si="0"/>
        <v>212004.86956521738</v>
      </c>
      <c r="G52" s="85">
        <f t="shared" si="1"/>
        <v>31009.043478260868</v>
      </c>
      <c r="H52" s="84">
        <v>1243404</v>
      </c>
      <c r="I52" s="89">
        <v>1004</v>
      </c>
      <c r="J52" s="87">
        <f t="shared" si="3"/>
        <v>1238.4501992031871</v>
      </c>
      <c r="K52" s="84">
        <v>0</v>
      </c>
      <c r="L52" s="89">
        <v>0</v>
      </c>
      <c r="M52" s="88"/>
      <c r="N52" s="84">
        <v>8273</v>
      </c>
      <c r="O52" s="89">
        <v>3995</v>
      </c>
      <c r="P52" s="88">
        <f>N52/O52</f>
        <v>2.0708385481852316</v>
      </c>
      <c r="Q52" s="90"/>
      <c r="R52" s="90"/>
      <c r="S52" s="90"/>
      <c r="T52" s="90"/>
      <c r="U52" s="90"/>
      <c r="V52" s="90"/>
      <c r="W52" s="90"/>
      <c r="X52" s="90"/>
      <c r="Y52" s="90"/>
      <c r="Z52" s="90"/>
    </row>
    <row r="53" spans="1:26" ht="15.75" customHeight="1">
      <c r="A53" s="82" t="s">
        <v>148</v>
      </c>
      <c r="B53" s="83">
        <v>44557</v>
      </c>
      <c r="C53" s="82">
        <v>7</v>
      </c>
      <c r="D53" s="84">
        <v>79657</v>
      </c>
      <c r="E53" s="84">
        <v>316285</v>
      </c>
      <c r="F53" s="85">
        <f t="shared" si="0"/>
        <v>45183.571428571428</v>
      </c>
      <c r="G53" s="85">
        <f t="shared" si="1"/>
        <v>11379.571428571429</v>
      </c>
      <c r="H53" s="84">
        <v>3610222</v>
      </c>
      <c r="I53" s="89">
        <v>4718</v>
      </c>
      <c r="J53" s="87">
        <f t="shared" si="3"/>
        <v>765.20178041543022</v>
      </c>
      <c r="K53" s="84">
        <v>74858</v>
      </c>
      <c r="L53" s="89">
        <v>4316</v>
      </c>
      <c r="M53" s="88">
        <f>K53/L53</f>
        <v>17.344300278035217</v>
      </c>
      <c r="N53" s="84">
        <v>1273</v>
      </c>
      <c r="O53" s="89">
        <v>663</v>
      </c>
      <c r="P53" s="88">
        <f>N53/O53</f>
        <v>1.9200603318250378</v>
      </c>
      <c r="Q53" s="90"/>
      <c r="R53" s="90"/>
      <c r="S53" s="90"/>
      <c r="T53" s="90"/>
      <c r="U53" s="90"/>
      <c r="V53" s="90"/>
      <c r="W53" s="90"/>
      <c r="X53" s="90"/>
      <c r="Y53" s="90"/>
      <c r="Z53" s="90"/>
    </row>
    <row r="54" spans="1:26" ht="15.75" customHeight="1">
      <c r="A54" s="82" t="s">
        <v>149</v>
      </c>
      <c r="B54" s="83">
        <v>44512</v>
      </c>
      <c r="C54" s="82">
        <v>18</v>
      </c>
      <c r="D54" s="84">
        <v>42742</v>
      </c>
      <c r="E54" s="84">
        <v>1170402</v>
      </c>
      <c r="F54" s="85">
        <f t="shared" si="0"/>
        <v>65022.333333333336</v>
      </c>
      <c r="G54" s="85">
        <f t="shared" si="1"/>
        <v>2374.5555555555557</v>
      </c>
      <c r="H54" s="84">
        <v>2620810</v>
      </c>
      <c r="I54" s="89">
        <v>1998</v>
      </c>
      <c r="J54" s="87">
        <f t="shared" si="3"/>
        <v>1311.7167167167167</v>
      </c>
      <c r="K54" s="84">
        <v>0</v>
      </c>
      <c r="L54" s="89">
        <v>0</v>
      </c>
      <c r="M54" s="88"/>
      <c r="N54" s="84">
        <v>22958</v>
      </c>
      <c r="O54" s="89">
        <v>9989</v>
      </c>
      <c r="P54" s="88">
        <f>N54/O54</f>
        <v>2.2983281609770749</v>
      </c>
      <c r="Q54" s="90"/>
      <c r="R54" s="90"/>
      <c r="S54" s="90"/>
      <c r="T54" s="90"/>
      <c r="U54" s="90"/>
      <c r="V54" s="90"/>
      <c r="W54" s="90"/>
      <c r="X54" s="90"/>
      <c r="Y54" s="90"/>
      <c r="Z54" s="90"/>
    </row>
    <row r="55" spans="1:26" ht="15.75" customHeight="1">
      <c r="A55" s="82" t="s">
        <v>150</v>
      </c>
      <c r="B55" s="83">
        <v>44484</v>
      </c>
      <c r="C55" s="82">
        <v>12</v>
      </c>
      <c r="D55" s="84">
        <v>119782</v>
      </c>
      <c r="E55" s="84">
        <v>4108186</v>
      </c>
      <c r="F55" s="85">
        <f t="shared" si="0"/>
        <v>342348.83333333331</v>
      </c>
      <c r="G55" s="85">
        <f t="shared" si="1"/>
        <v>9981.8333333333339</v>
      </c>
      <c r="H55" s="84">
        <v>539416</v>
      </c>
      <c r="I55" s="89">
        <v>1017</v>
      </c>
      <c r="J55" s="87"/>
      <c r="K55" s="84">
        <v>0</v>
      </c>
      <c r="L55" s="89">
        <v>0</v>
      </c>
      <c r="M55" s="88"/>
      <c r="N55" s="84">
        <v>49</v>
      </c>
      <c r="O55" s="89">
        <v>0</v>
      </c>
      <c r="P55" s="88"/>
      <c r="Q55" s="90"/>
      <c r="R55" s="90"/>
      <c r="S55" s="90"/>
      <c r="T55" s="90"/>
      <c r="U55" s="90"/>
      <c r="V55" s="90"/>
      <c r="W55" s="90"/>
      <c r="X55" s="90"/>
      <c r="Y55" s="90"/>
      <c r="Z55" s="90"/>
    </row>
    <row r="56" spans="1:26" ht="15.75" customHeight="1">
      <c r="A56" s="82" t="s">
        <v>151</v>
      </c>
      <c r="B56" s="83">
        <v>44548</v>
      </c>
      <c r="C56" s="82">
        <v>19</v>
      </c>
      <c r="D56" s="84">
        <v>22168</v>
      </c>
      <c r="E56" s="84">
        <v>3513946</v>
      </c>
      <c r="F56" s="85">
        <f t="shared" si="0"/>
        <v>184944.52631578947</v>
      </c>
      <c r="G56" s="85">
        <f t="shared" si="1"/>
        <v>1166.7368421052631</v>
      </c>
      <c r="H56" s="84">
        <v>1862552</v>
      </c>
      <c r="I56" s="89">
        <v>2013</v>
      </c>
      <c r="J56" s="87">
        <f t="shared" ref="J56:J61" si="4">H56/I56</f>
        <v>925.26179831097863</v>
      </c>
      <c r="K56" s="84">
        <v>0</v>
      </c>
      <c r="L56" s="89">
        <v>0</v>
      </c>
      <c r="M56" s="88"/>
      <c r="N56" s="84">
        <v>11610</v>
      </c>
      <c r="O56" s="89">
        <v>2986</v>
      </c>
      <c r="P56" s="88">
        <f>N56/O56</f>
        <v>3.8881446751507034</v>
      </c>
      <c r="Q56" s="90"/>
      <c r="R56" s="90"/>
      <c r="S56" s="90"/>
      <c r="T56" s="90"/>
      <c r="U56" s="90"/>
      <c r="V56" s="90"/>
      <c r="W56" s="90"/>
      <c r="X56" s="90"/>
      <c r="Y56" s="90"/>
      <c r="Z56" s="90"/>
    </row>
    <row r="57" spans="1:26" ht="15.75" customHeight="1">
      <c r="A57" s="82" t="s">
        <v>152</v>
      </c>
      <c r="B57" s="83">
        <v>44515</v>
      </c>
      <c r="C57" s="82">
        <v>11</v>
      </c>
      <c r="D57" s="84">
        <v>11609</v>
      </c>
      <c r="E57" s="84">
        <v>964410</v>
      </c>
      <c r="F57" s="85">
        <f t="shared" si="0"/>
        <v>87673.636363636368</v>
      </c>
      <c r="G57" s="85">
        <f t="shared" si="1"/>
        <v>1055.3636363636363</v>
      </c>
      <c r="H57" s="84">
        <v>1452022</v>
      </c>
      <c r="I57" s="89">
        <v>2500</v>
      </c>
      <c r="J57" s="87">
        <f t="shared" si="4"/>
        <v>580.80880000000002</v>
      </c>
      <c r="K57" s="84">
        <v>0</v>
      </c>
      <c r="L57" s="89">
        <v>0</v>
      </c>
      <c r="M57" s="88"/>
      <c r="N57" s="84">
        <v>9279</v>
      </c>
      <c r="O57" s="89">
        <v>2500</v>
      </c>
      <c r="P57" s="88">
        <f>N57/O57</f>
        <v>3.7115999999999998</v>
      </c>
      <c r="Q57" s="90"/>
      <c r="R57" s="90"/>
      <c r="S57" s="90"/>
      <c r="T57" s="90"/>
      <c r="U57" s="90"/>
      <c r="V57" s="90"/>
      <c r="W57" s="90"/>
      <c r="X57" s="90"/>
      <c r="Y57" s="90"/>
      <c r="Z57" s="90"/>
    </row>
    <row r="58" spans="1:26" ht="15.75" customHeight="1">
      <c r="A58" s="82" t="s">
        <v>111</v>
      </c>
      <c r="B58" s="83">
        <v>44561</v>
      </c>
      <c r="C58" s="82">
        <v>20</v>
      </c>
      <c r="D58" s="84">
        <v>130736</v>
      </c>
      <c r="E58" s="84">
        <v>4569545</v>
      </c>
      <c r="F58" s="85">
        <f t="shared" si="0"/>
        <v>228477.25</v>
      </c>
      <c r="G58" s="85">
        <f t="shared" si="1"/>
        <v>6536.8</v>
      </c>
      <c r="H58" s="84">
        <v>2217716</v>
      </c>
      <c r="I58" s="89">
        <v>1005</v>
      </c>
      <c r="J58" s="87">
        <f t="shared" si="4"/>
        <v>2206.6825870646767</v>
      </c>
      <c r="K58" s="84">
        <v>85147</v>
      </c>
      <c r="L58" s="89">
        <v>2477</v>
      </c>
      <c r="M58" s="88">
        <f>K58/L58</f>
        <v>34.375050464271297</v>
      </c>
      <c r="N58" s="84">
        <v>9280</v>
      </c>
      <c r="O58" s="89">
        <v>3516</v>
      </c>
      <c r="P58" s="88">
        <f>N58/O58</f>
        <v>2.639362912400455</v>
      </c>
      <c r="Q58" s="90"/>
      <c r="R58" s="90"/>
      <c r="S58" s="90"/>
      <c r="T58" s="90"/>
      <c r="U58" s="90"/>
      <c r="V58" s="90"/>
      <c r="W58" s="90"/>
      <c r="X58" s="90"/>
      <c r="Y58" s="90"/>
      <c r="Z58" s="90"/>
    </row>
    <row r="59" spans="1:26" ht="15.75" customHeight="1">
      <c r="A59" s="82" t="s">
        <v>153</v>
      </c>
      <c r="B59" s="83">
        <v>44557</v>
      </c>
      <c r="C59" s="82">
        <v>35</v>
      </c>
      <c r="D59" s="84">
        <v>51101</v>
      </c>
      <c r="E59" s="84">
        <v>4365643</v>
      </c>
      <c r="F59" s="85">
        <f t="shared" si="0"/>
        <v>124732.65714285715</v>
      </c>
      <c r="G59" s="85">
        <f t="shared" si="1"/>
        <v>1460.0285714285715</v>
      </c>
      <c r="H59" s="84">
        <v>969749</v>
      </c>
      <c r="I59" s="89">
        <v>1576</v>
      </c>
      <c r="J59" s="87">
        <f t="shared" si="4"/>
        <v>615.32296954314722</v>
      </c>
      <c r="K59" s="84">
        <v>24141</v>
      </c>
      <c r="L59" s="89">
        <v>1531</v>
      </c>
      <c r="M59" s="88">
        <f>K59/L59</f>
        <v>15.768125408229915</v>
      </c>
      <c r="N59" s="84"/>
      <c r="O59" s="89"/>
      <c r="P59" s="88"/>
      <c r="Q59" s="90"/>
      <c r="R59" s="90"/>
      <c r="S59" s="90"/>
      <c r="T59" s="90"/>
      <c r="U59" s="90"/>
      <c r="V59" s="90"/>
      <c r="W59" s="90"/>
      <c r="X59" s="90"/>
      <c r="Y59" s="90"/>
      <c r="Z59" s="90"/>
    </row>
    <row r="60" spans="1:26" ht="15.75" customHeight="1">
      <c r="A60" s="82" t="s">
        <v>154</v>
      </c>
      <c r="B60" s="83">
        <v>44568</v>
      </c>
      <c r="C60" s="82">
        <v>14</v>
      </c>
      <c r="D60" s="84">
        <v>22571</v>
      </c>
      <c r="E60" s="84">
        <v>1715167</v>
      </c>
      <c r="F60" s="85">
        <f t="shared" si="0"/>
        <v>122511.92857142857</v>
      </c>
      <c r="G60" s="85">
        <f t="shared" si="1"/>
        <v>1612.2142857142858</v>
      </c>
      <c r="H60" s="84">
        <v>982750</v>
      </c>
      <c r="I60" s="89">
        <v>500</v>
      </c>
      <c r="J60" s="87">
        <f t="shared" si="4"/>
        <v>1965.5</v>
      </c>
      <c r="K60" s="84">
        <v>0</v>
      </c>
      <c r="L60" s="89">
        <v>0</v>
      </c>
      <c r="M60" s="88"/>
      <c r="N60" s="84">
        <v>6177</v>
      </c>
      <c r="O60" s="89">
        <v>1500</v>
      </c>
      <c r="P60" s="88">
        <f>N60/O60</f>
        <v>4.1180000000000003</v>
      </c>
      <c r="Q60" s="90"/>
      <c r="R60" s="90"/>
      <c r="S60" s="90"/>
      <c r="T60" s="90"/>
      <c r="U60" s="90"/>
      <c r="V60" s="90"/>
      <c r="W60" s="90"/>
      <c r="X60" s="90"/>
      <c r="Y60" s="90"/>
      <c r="Z60" s="90"/>
    </row>
    <row r="61" spans="1:26" ht="15.75" customHeight="1">
      <c r="A61" s="82" t="s">
        <v>155</v>
      </c>
      <c r="B61" s="83">
        <v>44557</v>
      </c>
      <c r="C61" s="82">
        <v>40</v>
      </c>
      <c r="D61" s="84">
        <v>57693</v>
      </c>
      <c r="E61" s="84">
        <v>3389838</v>
      </c>
      <c r="F61" s="85">
        <f t="shared" si="0"/>
        <v>84745.95</v>
      </c>
      <c r="G61" s="85">
        <f t="shared" si="1"/>
        <v>1442.325</v>
      </c>
      <c r="H61" s="84">
        <v>2745415</v>
      </c>
      <c r="I61" s="89">
        <v>4077</v>
      </c>
      <c r="J61" s="87">
        <f t="shared" si="4"/>
        <v>673.39097375521214</v>
      </c>
      <c r="K61" s="84">
        <v>25235</v>
      </c>
      <c r="L61" s="89">
        <v>1922</v>
      </c>
      <c r="M61" s="88">
        <f>K61/L61</f>
        <v>13.129552549427679</v>
      </c>
      <c r="N61" s="84">
        <v>0</v>
      </c>
      <c r="O61" s="89">
        <v>0</v>
      </c>
      <c r="P61" s="88"/>
      <c r="Q61" s="90"/>
      <c r="R61" s="90"/>
      <c r="S61" s="90"/>
      <c r="T61" s="90"/>
      <c r="U61" s="90"/>
      <c r="V61" s="90"/>
      <c r="W61" s="90"/>
      <c r="X61" s="90"/>
      <c r="Y61" s="90"/>
      <c r="Z61" s="90"/>
    </row>
    <row r="62" spans="1:26" ht="15.75" customHeight="1">
      <c r="A62" s="82" t="s">
        <v>156</v>
      </c>
      <c r="B62" s="83">
        <v>44554</v>
      </c>
      <c r="C62" s="82">
        <v>5</v>
      </c>
      <c r="D62" s="84">
        <v>1800</v>
      </c>
      <c r="E62" s="84">
        <v>149131</v>
      </c>
      <c r="F62" s="85">
        <f t="shared" si="0"/>
        <v>29826.2</v>
      </c>
      <c r="G62" s="85">
        <f t="shared" si="1"/>
        <v>360</v>
      </c>
      <c r="H62" s="84">
        <v>0</v>
      </c>
      <c r="I62" s="89">
        <v>0</v>
      </c>
      <c r="J62" s="87"/>
      <c r="K62" s="84">
        <v>0</v>
      </c>
      <c r="L62" s="89">
        <v>0</v>
      </c>
      <c r="M62" s="88"/>
      <c r="N62" s="84">
        <v>0</v>
      </c>
      <c r="O62" s="89"/>
      <c r="P62" s="88"/>
      <c r="Q62" s="90"/>
      <c r="R62" s="90"/>
      <c r="S62" s="90"/>
      <c r="T62" s="90"/>
      <c r="U62" s="90"/>
      <c r="V62" s="90"/>
      <c r="W62" s="90"/>
      <c r="X62" s="90"/>
      <c r="Y62" s="90"/>
      <c r="Z62" s="90"/>
    </row>
    <row r="63" spans="1:26" ht="15.75" customHeight="1">
      <c r="A63" s="82" t="s">
        <v>157</v>
      </c>
      <c r="B63" s="83">
        <v>44548</v>
      </c>
      <c r="C63" s="82">
        <v>20</v>
      </c>
      <c r="D63" s="84">
        <v>27668</v>
      </c>
      <c r="E63" s="84">
        <v>2624264</v>
      </c>
      <c r="F63" s="85">
        <f t="shared" si="0"/>
        <v>131213.20000000001</v>
      </c>
      <c r="G63" s="85">
        <f t="shared" si="1"/>
        <v>1383.4</v>
      </c>
      <c r="H63" s="84">
        <v>292397</v>
      </c>
      <c r="I63" s="89">
        <v>4000</v>
      </c>
      <c r="J63" s="87">
        <f t="shared" ref="J63:J101" si="5">H63/I63</f>
        <v>73.099249999999998</v>
      </c>
      <c r="K63" s="84"/>
      <c r="L63" s="89">
        <v>0</v>
      </c>
      <c r="M63" s="88"/>
      <c r="N63" s="84">
        <v>0</v>
      </c>
      <c r="O63" s="89"/>
      <c r="P63" s="88"/>
      <c r="Q63" s="90"/>
      <c r="R63" s="90"/>
      <c r="S63" s="90"/>
      <c r="T63" s="90"/>
      <c r="U63" s="90"/>
      <c r="V63" s="90"/>
      <c r="W63" s="90"/>
      <c r="X63" s="90"/>
      <c r="Y63" s="90"/>
      <c r="Z63" s="90"/>
    </row>
    <row r="64" spans="1:26" ht="15.75" customHeight="1">
      <c r="A64" s="82" t="s">
        <v>158</v>
      </c>
      <c r="B64" s="83">
        <v>44563</v>
      </c>
      <c r="C64" s="82">
        <v>42</v>
      </c>
      <c r="D64" s="84">
        <v>66779</v>
      </c>
      <c r="E64" s="84">
        <v>5572546</v>
      </c>
      <c r="F64" s="85">
        <f t="shared" si="0"/>
        <v>132679.66666666666</v>
      </c>
      <c r="G64" s="85">
        <f t="shared" si="1"/>
        <v>1589.9761904761904</v>
      </c>
      <c r="H64" s="84">
        <v>3017723</v>
      </c>
      <c r="I64" s="89">
        <v>2000</v>
      </c>
      <c r="J64" s="87">
        <f t="shared" si="5"/>
        <v>1508.8615</v>
      </c>
      <c r="K64" s="84">
        <v>0</v>
      </c>
      <c r="L64" s="89">
        <v>0</v>
      </c>
      <c r="M64" s="88"/>
      <c r="N64" s="84">
        <v>35472</v>
      </c>
      <c r="O64" s="89">
        <v>8000</v>
      </c>
      <c r="P64" s="88">
        <f>N64/O64</f>
        <v>4.4340000000000002</v>
      </c>
      <c r="Q64" s="90"/>
      <c r="R64" s="90"/>
      <c r="S64" s="90"/>
      <c r="T64" s="90"/>
      <c r="U64" s="90"/>
      <c r="V64" s="90"/>
      <c r="W64" s="90"/>
      <c r="X64" s="90"/>
      <c r="Y64" s="90"/>
      <c r="Z64" s="90"/>
    </row>
    <row r="65" spans="1:26" ht="15.75" customHeight="1">
      <c r="A65" s="82" t="s">
        <v>159</v>
      </c>
      <c r="B65" s="83">
        <v>44551</v>
      </c>
      <c r="C65" s="82">
        <v>9</v>
      </c>
      <c r="D65" s="84">
        <v>21380</v>
      </c>
      <c r="E65" s="84">
        <v>683984</v>
      </c>
      <c r="F65" s="85">
        <f t="shared" si="0"/>
        <v>75998.222222222219</v>
      </c>
      <c r="G65" s="85">
        <f t="shared" si="1"/>
        <v>2375.5555555555557</v>
      </c>
      <c r="H65" s="84">
        <v>2477631</v>
      </c>
      <c r="I65" s="89">
        <v>3000</v>
      </c>
      <c r="J65" s="87">
        <f t="shared" si="5"/>
        <v>825.87699999999995</v>
      </c>
      <c r="K65" s="84">
        <v>0</v>
      </c>
      <c r="L65" s="89">
        <v>0</v>
      </c>
      <c r="M65" s="88"/>
      <c r="N65" s="84">
        <v>10541</v>
      </c>
      <c r="O65" s="89">
        <v>3000</v>
      </c>
      <c r="P65" s="88">
        <f>N65/O65</f>
        <v>3.5136666666666665</v>
      </c>
      <c r="Q65" s="90"/>
      <c r="R65" s="90"/>
      <c r="S65" s="90"/>
      <c r="T65" s="90"/>
      <c r="U65" s="90"/>
      <c r="V65" s="90"/>
      <c r="W65" s="90"/>
      <c r="X65" s="90"/>
      <c r="Y65" s="90"/>
      <c r="Z65" s="90"/>
    </row>
    <row r="66" spans="1:26" ht="15.75" customHeight="1">
      <c r="A66" s="82" t="s">
        <v>160</v>
      </c>
      <c r="B66" s="83">
        <v>44201</v>
      </c>
      <c r="C66" s="82">
        <v>5</v>
      </c>
      <c r="D66" s="84">
        <v>27267</v>
      </c>
      <c r="E66" s="84">
        <v>3489000</v>
      </c>
      <c r="F66" s="85">
        <f t="shared" si="0"/>
        <v>697800</v>
      </c>
      <c r="G66" s="85">
        <f t="shared" si="1"/>
        <v>5453.4</v>
      </c>
      <c r="H66" s="84">
        <v>1402863</v>
      </c>
      <c r="I66" s="89">
        <v>2000</v>
      </c>
      <c r="J66" s="87">
        <f t="shared" si="5"/>
        <v>701.43150000000003</v>
      </c>
      <c r="K66" s="84">
        <v>0</v>
      </c>
      <c r="L66" s="89">
        <v>0</v>
      </c>
      <c r="M66" s="88"/>
      <c r="N66" s="84">
        <v>12</v>
      </c>
      <c r="O66" s="89">
        <v>0</v>
      </c>
      <c r="P66" s="88"/>
      <c r="Q66" s="90"/>
      <c r="R66" s="90"/>
      <c r="S66" s="90"/>
      <c r="T66" s="90"/>
      <c r="U66" s="90"/>
      <c r="V66" s="90"/>
      <c r="W66" s="90"/>
      <c r="X66" s="90"/>
      <c r="Y66" s="90"/>
      <c r="Z66" s="90"/>
    </row>
    <row r="67" spans="1:26" ht="15.75" customHeight="1">
      <c r="A67" s="82" t="s">
        <v>161</v>
      </c>
      <c r="B67" s="83">
        <v>44557</v>
      </c>
      <c r="C67" s="82">
        <v>60</v>
      </c>
      <c r="D67" s="84">
        <v>104774</v>
      </c>
      <c r="E67" s="84">
        <v>5832041</v>
      </c>
      <c r="F67" s="85">
        <f t="shared" si="0"/>
        <v>97200.683333333334</v>
      </c>
      <c r="G67" s="85">
        <f t="shared" si="1"/>
        <v>1746.2333333333333</v>
      </c>
      <c r="H67" s="84">
        <v>4913110</v>
      </c>
      <c r="I67" s="89">
        <v>7519</v>
      </c>
      <c r="J67" s="87">
        <f t="shared" si="5"/>
        <v>653.42598749833758</v>
      </c>
      <c r="K67" s="84">
        <v>31270</v>
      </c>
      <c r="L67" s="89">
        <v>3080</v>
      </c>
      <c r="M67" s="88">
        <f>K67/L67</f>
        <v>10.152597402597403</v>
      </c>
      <c r="N67" s="84">
        <v>0</v>
      </c>
      <c r="O67" s="89">
        <v>0</v>
      </c>
      <c r="P67" s="88"/>
      <c r="Q67" s="90"/>
      <c r="R67" s="90"/>
      <c r="S67" s="90"/>
      <c r="T67" s="90"/>
      <c r="U67" s="90"/>
      <c r="V67" s="90"/>
      <c r="W67" s="90"/>
      <c r="X67" s="90"/>
      <c r="Y67" s="90"/>
      <c r="Z67" s="90"/>
    </row>
    <row r="68" spans="1:26" ht="15.75" customHeight="1">
      <c r="A68" s="82" t="s">
        <v>162</v>
      </c>
      <c r="B68" s="83">
        <v>44926</v>
      </c>
      <c r="C68" s="82">
        <v>19</v>
      </c>
      <c r="D68" s="84">
        <v>31729</v>
      </c>
      <c r="E68" s="84">
        <v>5487979</v>
      </c>
      <c r="F68" s="85">
        <f t="shared" si="0"/>
        <v>288841</v>
      </c>
      <c r="G68" s="85">
        <f t="shared" si="1"/>
        <v>1669.9473684210527</v>
      </c>
      <c r="H68" s="84">
        <v>1173162</v>
      </c>
      <c r="I68" s="89">
        <v>1027</v>
      </c>
      <c r="J68" s="87">
        <f t="shared" si="5"/>
        <v>1142.3193768257058</v>
      </c>
      <c r="K68" s="84">
        <v>0</v>
      </c>
      <c r="L68" s="89">
        <v>0</v>
      </c>
      <c r="M68" s="88"/>
      <c r="N68" s="84">
        <v>4485</v>
      </c>
      <c r="O68" s="89">
        <v>1086</v>
      </c>
      <c r="P68" s="88">
        <f>N68/O68</f>
        <v>4.1298342541436464</v>
      </c>
      <c r="Q68" s="90"/>
      <c r="R68" s="90"/>
      <c r="S68" s="90"/>
      <c r="T68" s="90"/>
      <c r="U68" s="90"/>
      <c r="V68" s="90"/>
      <c r="W68" s="90"/>
      <c r="X68" s="90"/>
      <c r="Y68" s="90"/>
      <c r="Z68" s="90"/>
    </row>
    <row r="69" spans="1:26" ht="15.75" customHeight="1">
      <c r="A69" s="82" t="s">
        <v>163</v>
      </c>
      <c r="B69" s="83">
        <v>44562</v>
      </c>
      <c r="C69" s="82">
        <v>24</v>
      </c>
      <c r="D69" s="84">
        <v>119886</v>
      </c>
      <c r="E69" s="84">
        <v>5432630</v>
      </c>
      <c r="F69" s="85">
        <f t="shared" si="0"/>
        <v>226359.58333333334</v>
      </c>
      <c r="G69" s="85">
        <f t="shared" si="1"/>
        <v>4995.25</v>
      </c>
      <c r="H69" s="84">
        <v>3878880</v>
      </c>
      <c r="I69" s="89">
        <v>3932</v>
      </c>
      <c r="J69" s="87">
        <f t="shared" si="5"/>
        <v>986.49033570701931</v>
      </c>
      <c r="K69" s="84">
        <v>57023</v>
      </c>
      <c r="L69" s="89">
        <v>1932</v>
      </c>
      <c r="M69" s="88">
        <f>K69/L69</f>
        <v>29.515010351966875</v>
      </c>
      <c r="N69" s="84">
        <v>0</v>
      </c>
      <c r="O69" s="89">
        <v>0</v>
      </c>
      <c r="P69" s="88"/>
      <c r="Q69" s="90"/>
      <c r="R69" s="90"/>
      <c r="S69" s="90"/>
      <c r="T69" s="90"/>
      <c r="U69" s="90"/>
      <c r="V69" s="90"/>
      <c r="W69" s="90"/>
      <c r="X69" s="90"/>
      <c r="Y69" s="90"/>
      <c r="Z69" s="90"/>
    </row>
    <row r="70" spans="1:26" ht="15.75" customHeight="1">
      <c r="A70" s="125" t="s">
        <v>177</v>
      </c>
      <c r="B70" s="126">
        <v>44562</v>
      </c>
      <c r="C70" s="127">
        <v>11</v>
      </c>
      <c r="D70" s="128">
        <v>5029</v>
      </c>
      <c r="E70" s="129">
        <v>408224</v>
      </c>
      <c r="F70" s="129">
        <f t="shared" ref="F70:F137" si="6">E70/C70</f>
        <v>37111.272727272728</v>
      </c>
      <c r="G70" s="129">
        <f t="shared" ref="G70:G143" si="7">D70/C70</f>
        <v>457.18181818181819</v>
      </c>
      <c r="H70" s="130">
        <v>1633794</v>
      </c>
      <c r="I70" s="131">
        <v>1500</v>
      </c>
      <c r="J70" s="132">
        <f t="shared" si="5"/>
        <v>1089.1959999999999</v>
      </c>
      <c r="K70" s="84">
        <v>0</v>
      </c>
      <c r="L70" s="133">
        <v>0</v>
      </c>
      <c r="M70" s="134"/>
      <c r="N70" s="135">
        <v>0</v>
      </c>
      <c r="O70" s="136">
        <v>0</v>
      </c>
      <c r="P70" s="137"/>
      <c r="Q70" s="55"/>
      <c r="R70" s="55"/>
      <c r="S70" s="55"/>
      <c r="T70" s="55"/>
      <c r="U70" s="55"/>
      <c r="V70" s="55"/>
      <c r="W70" s="55"/>
      <c r="X70" s="55"/>
      <c r="Y70" s="55"/>
      <c r="Z70" s="55"/>
    </row>
    <row r="71" spans="1:26" ht="15.75" customHeight="1">
      <c r="A71" t="s">
        <v>178</v>
      </c>
      <c r="B71" s="126">
        <v>44587</v>
      </c>
      <c r="C71" s="127">
        <v>22</v>
      </c>
      <c r="D71" s="128">
        <v>65810</v>
      </c>
      <c r="E71" s="138">
        <v>2134048</v>
      </c>
      <c r="F71" s="139">
        <f t="shared" si="6"/>
        <v>97002.181818181823</v>
      </c>
      <c r="G71" s="139">
        <f t="shared" si="7"/>
        <v>2991.3636363636365</v>
      </c>
      <c r="H71" s="138">
        <v>1911474</v>
      </c>
      <c r="I71" s="131">
        <v>2000</v>
      </c>
      <c r="J71" s="132">
        <f t="shared" si="5"/>
        <v>955.73699999999997</v>
      </c>
      <c r="K71" s="140">
        <v>40013</v>
      </c>
      <c r="L71" s="133">
        <v>2000</v>
      </c>
      <c r="M71" s="134">
        <f t="shared" ref="M71:M94" si="8">K71/L71</f>
        <v>20.006499999999999</v>
      </c>
      <c r="N71" s="135">
        <v>0</v>
      </c>
      <c r="O71" s="136">
        <v>0</v>
      </c>
      <c r="P71" s="137"/>
      <c r="Q71" s="55"/>
      <c r="R71" s="55"/>
      <c r="S71" s="55"/>
      <c r="T71" s="55"/>
      <c r="U71" s="55"/>
      <c r="V71" s="55"/>
      <c r="W71" s="55"/>
      <c r="X71" s="55"/>
      <c r="Y71" s="55"/>
      <c r="Z71" s="55"/>
    </row>
    <row r="72" spans="1:26" ht="15.75" customHeight="1">
      <c r="A72" s="127" t="s">
        <v>134</v>
      </c>
      <c r="B72" s="126">
        <v>44564</v>
      </c>
      <c r="C72" s="127">
        <v>12</v>
      </c>
      <c r="D72" s="141">
        <v>6161</v>
      </c>
      <c r="E72" s="129">
        <v>556231</v>
      </c>
      <c r="F72" s="129">
        <f t="shared" si="6"/>
        <v>46352.583333333336</v>
      </c>
      <c r="G72" s="129">
        <f t="shared" si="7"/>
        <v>513.41666666666663</v>
      </c>
      <c r="H72" s="138">
        <v>1592404</v>
      </c>
      <c r="I72" s="131">
        <v>1500</v>
      </c>
      <c r="J72" s="132">
        <f t="shared" si="5"/>
        <v>1061.6026666666667</v>
      </c>
      <c r="K72" s="140">
        <v>0</v>
      </c>
      <c r="L72" s="133">
        <v>0</v>
      </c>
      <c r="M72" s="134"/>
      <c r="N72" s="135">
        <v>0</v>
      </c>
      <c r="O72" s="136">
        <v>0</v>
      </c>
      <c r="P72" s="137"/>
      <c r="Q72" s="55"/>
      <c r="R72" s="55"/>
      <c r="S72" s="55"/>
      <c r="T72" s="55"/>
      <c r="U72" s="55"/>
      <c r="V72" s="55"/>
      <c r="W72" s="55"/>
      <c r="X72" s="55"/>
      <c r="Y72" s="55"/>
      <c r="Z72" s="55"/>
    </row>
    <row r="73" spans="1:26" ht="15.75" customHeight="1">
      <c r="A73" s="127" t="s">
        <v>179</v>
      </c>
      <c r="B73" s="142">
        <v>44571</v>
      </c>
      <c r="C73" s="127">
        <v>12</v>
      </c>
      <c r="D73" s="141">
        <v>4204</v>
      </c>
      <c r="E73" s="129">
        <v>384636</v>
      </c>
      <c r="F73" s="129">
        <f t="shared" si="6"/>
        <v>32053</v>
      </c>
      <c r="G73" s="129">
        <f t="shared" si="7"/>
        <v>350.33333333333331</v>
      </c>
      <c r="H73" s="143">
        <v>1358069</v>
      </c>
      <c r="I73" s="144">
        <v>1500</v>
      </c>
      <c r="J73" s="145">
        <f t="shared" si="5"/>
        <v>905.37933333333331</v>
      </c>
      <c r="K73" s="140">
        <v>0</v>
      </c>
      <c r="L73" s="133">
        <v>0</v>
      </c>
      <c r="M73" s="134"/>
      <c r="N73" s="135">
        <v>0</v>
      </c>
      <c r="O73" s="136">
        <v>0</v>
      </c>
      <c r="P73" s="137"/>
      <c r="Q73" s="55"/>
      <c r="R73" s="55"/>
      <c r="S73" s="55"/>
      <c r="T73" s="55"/>
      <c r="U73" s="55"/>
      <c r="V73" s="55"/>
      <c r="W73" s="55"/>
      <c r="X73" s="55"/>
      <c r="Y73" s="55"/>
      <c r="Z73" s="55"/>
    </row>
    <row r="74" spans="1:26" ht="15.75" customHeight="1">
      <c r="A74" s="127" t="s">
        <v>180</v>
      </c>
      <c r="B74" s="142">
        <v>44590</v>
      </c>
      <c r="C74" s="127">
        <v>17</v>
      </c>
      <c r="D74" s="141">
        <v>22435</v>
      </c>
      <c r="E74" s="129">
        <v>2202074</v>
      </c>
      <c r="F74" s="129">
        <f t="shared" si="6"/>
        <v>129533.76470588235</v>
      </c>
      <c r="G74" s="129">
        <f t="shared" si="7"/>
        <v>1319.7058823529412</v>
      </c>
      <c r="H74" s="146">
        <v>2010665</v>
      </c>
      <c r="I74" s="133">
        <v>2000</v>
      </c>
      <c r="J74" s="145">
        <f t="shared" si="5"/>
        <v>1005.3325</v>
      </c>
      <c r="K74" s="140">
        <v>0</v>
      </c>
      <c r="L74" s="133">
        <v>0</v>
      </c>
      <c r="M74" s="134"/>
      <c r="N74" s="135">
        <v>7339</v>
      </c>
      <c r="O74" s="136">
        <v>2000</v>
      </c>
      <c r="P74" s="137">
        <f t="shared" ref="P74:P82" si="9">N74/O74</f>
        <v>3.6695000000000002</v>
      </c>
      <c r="Q74" s="55"/>
      <c r="R74" s="55"/>
      <c r="S74" s="55"/>
      <c r="T74" s="55"/>
      <c r="U74" s="55"/>
      <c r="V74" s="55"/>
      <c r="W74" s="55"/>
      <c r="X74" s="55"/>
      <c r="Y74" s="55"/>
      <c r="Z74" s="55"/>
    </row>
    <row r="75" spans="1:26" ht="15.75" customHeight="1">
      <c r="A75" s="127" t="s">
        <v>181</v>
      </c>
      <c r="B75" s="142">
        <v>44562</v>
      </c>
      <c r="C75" s="127">
        <v>19</v>
      </c>
      <c r="D75" s="141">
        <v>28572</v>
      </c>
      <c r="E75" s="129">
        <v>1500063</v>
      </c>
      <c r="F75" s="129">
        <f t="shared" si="6"/>
        <v>78950.68421052632</v>
      </c>
      <c r="G75" s="129">
        <f t="shared" si="7"/>
        <v>1503.7894736842106</v>
      </c>
      <c r="H75" s="147">
        <v>2257292</v>
      </c>
      <c r="I75" s="148">
        <v>2000</v>
      </c>
      <c r="J75" s="145">
        <f t="shared" si="5"/>
        <v>1128.646</v>
      </c>
      <c r="K75" s="140">
        <v>0</v>
      </c>
      <c r="L75" s="133">
        <v>0</v>
      </c>
      <c r="M75" s="134"/>
      <c r="N75" s="135">
        <v>10038</v>
      </c>
      <c r="O75" s="136">
        <v>1500</v>
      </c>
      <c r="P75" s="137">
        <f t="shared" si="9"/>
        <v>6.6920000000000002</v>
      </c>
      <c r="Q75" s="55"/>
      <c r="R75" s="55"/>
      <c r="S75" s="55"/>
      <c r="T75" s="55"/>
      <c r="U75" s="55"/>
      <c r="V75" s="55"/>
      <c r="W75" s="55"/>
      <c r="X75" s="55"/>
      <c r="Y75" s="55"/>
      <c r="Z75" s="55"/>
    </row>
    <row r="76" spans="1:26" ht="15.75" customHeight="1">
      <c r="A76" s="127" t="s">
        <v>182</v>
      </c>
      <c r="B76" s="142">
        <v>44607</v>
      </c>
      <c r="C76" s="127">
        <v>40</v>
      </c>
      <c r="D76" s="141">
        <v>60251</v>
      </c>
      <c r="E76" s="129">
        <v>2383470</v>
      </c>
      <c r="F76" s="129">
        <f t="shared" si="6"/>
        <v>59586.75</v>
      </c>
      <c r="G76" s="129">
        <f t="shared" si="7"/>
        <v>1506.2750000000001</v>
      </c>
      <c r="H76" s="147">
        <v>2521670</v>
      </c>
      <c r="I76" s="131">
        <v>3000</v>
      </c>
      <c r="J76" s="149">
        <f t="shared" si="5"/>
        <v>840.55666666666662</v>
      </c>
      <c r="K76" s="140">
        <v>44115</v>
      </c>
      <c r="L76" s="133">
        <v>4000</v>
      </c>
      <c r="M76" s="150">
        <f t="shared" si="8"/>
        <v>11.02875</v>
      </c>
      <c r="N76" s="151">
        <v>0</v>
      </c>
      <c r="O76" s="152">
        <v>0</v>
      </c>
      <c r="P76" s="137"/>
      <c r="Q76" s="55"/>
      <c r="R76" s="55"/>
      <c r="S76" s="55"/>
      <c r="T76" s="55"/>
      <c r="U76" s="55"/>
      <c r="V76" s="55"/>
      <c r="W76" s="55"/>
      <c r="X76" s="55"/>
      <c r="Y76" s="55"/>
      <c r="Z76" s="55"/>
    </row>
    <row r="77" spans="1:26" ht="15.75" customHeight="1">
      <c r="A77" s="127" t="s">
        <v>183</v>
      </c>
      <c r="B77" s="142">
        <v>44607</v>
      </c>
      <c r="C77" s="127">
        <v>10</v>
      </c>
      <c r="D77" s="147">
        <v>14593</v>
      </c>
      <c r="E77" s="147">
        <v>515073</v>
      </c>
      <c r="F77" s="147">
        <f t="shared" si="6"/>
        <v>51507.3</v>
      </c>
      <c r="G77" s="147">
        <f t="shared" si="7"/>
        <v>1459.3</v>
      </c>
      <c r="H77" s="147">
        <v>766536</v>
      </c>
      <c r="I77" s="131">
        <v>1000</v>
      </c>
      <c r="J77" s="149">
        <f t="shared" si="5"/>
        <v>766.53599999999994</v>
      </c>
      <c r="K77" s="140">
        <v>9517</v>
      </c>
      <c r="L77" s="133">
        <v>1000</v>
      </c>
      <c r="M77" s="150">
        <f t="shared" si="8"/>
        <v>9.5169999999999995</v>
      </c>
      <c r="N77" s="151">
        <v>0</v>
      </c>
      <c r="O77" s="153"/>
      <c r="P77" s="137"/>
      <c r="Q77" s="55"/>
      <c r="R77" s="55"/>
      <c r="S77" s="55"/>
      <c r="T77" s="55"/>
      <c r="U77" s="55"/>
      <c r="V77" s="55"/>
      <c r="W77" s="55"/>
      <c r="X77" s="55"/>
      <c r="Y77" s="55"/>
      <c r="Z77" s="55"/>
    </row>
    <row r="78" spans="1:26" ht="15.75" customHeight="1">
      <c r="A78" s="127" t="s">
        <v>184</v>
      </c>
      <c r="B78" s="142">
        <v>44655</v>
      </c>
      <c r="C78" s="127">
        <v>5</v>
      </c>
      <c r="D78" s="147">
        <v>2469</v>
      </c>
      <c r="E78" s="147">
        <v>330856</v>
      </c>
      <c r="F78" s="147">
        <f t="shared" si="6"/>
        <v>66171.199999999997</v>
      </c>
      <c r="G78" s="147">
        <f t="shared" si="7"/>
        <v>493.8</v>
      </c>
      <c r="H78" s="147">
        <v>0</v>
      </c>
      <c r="I78" s="131">
        <v>0</v>
      </c>
      <c r="J78" s="127"/>
      <c r="K78" s="140">
        <v>0</v>
      </c>
      <c r="L78" s="133">
        <v>0</v>
      </c>
      <c r="M78" s="150"/>
      <c r="N78" s="151">
        <v>0</v>
      </c>
      <c r="O78" s="153">
        <v>0</v>
      </c>
      <c r="P78" s="137"/>
      <c r="Q78" s="55"/>
      <c r="R78" s="55"/>
      <c r="S78" s="55"/>
      <c r="T78" s="55"/>
      <c r="U78" s="55"/>
      <c r="V78" s="55"/>
      <c r="W78" s="55"/>
      <c r="X78" s="55"/>
      <c r="Y78" s="55"/>
      <c r="Z78" s="55"/>
    </row>
    <row r="79" spans="1:26" ht="15.75" customHeight="1">
      <c r="A79" s="127" t="s">
        <v>185</v>
      </c>
      <c r="B79" s="142">
        <v>44628</v>
      </c>
      <c r="C79" s="127">
        <v>6</v>
      </c>
      <c r="D79" s="147">
        <v>15872</v>
      </c>
      <c r="E79" s="147">
        <v>1866825</v>
      </c>
      <c r="F79" s="147">
        <f t="shared" si="6"/>
        <v>311137.5</v>
      </c>
      <c r="G79" s="147">
        <f t="shared" si="7"/>
        <v>2645.3333333333335</v>
      </c>
      <c r="H79" s="147">
        <v>0</v>
      </c>
      <c r="I79" s="131">
        <v>0</v>
      </c>
      <c r="J79" s="127"/>
      <c r="K79" s="154">
        <v>0</v>
      </c>
      <c r="L79" s="133">
        <v>0</v>
      </c>
      <c r="M79" s="150"/>
      <c r="N79" s="127">
        <v>741.72</v>
      </c>
      <c r="O79" s="153">
        <v>6588</v>
      </c>
      <c r="P79" s="137">
        <f t="shared" si="9"/>
        <v>0.11258652094717669</v>
      </c>
      <c r="Q79" s="55"/>
      <c r="R79" s="55"/>
      <c r="S79" s="55"/>
      <c r="T79" s="55"/>
      <c r="U79" s="55"/>
      <c r="V79" s="55"/>
      <c r="W79" s="55"/>
      <c r="X79" s="55"/>
      <c r="Y79" s="55"/>
      <c r="Z79" s="55"/>
    </row>
    <row r="80" spans="1:26" ht="15.75" customHeight="1">
      <c r="A80" s="127" t="s">
        <v>186</v>
      </c>
      <c r="B80" s="142">
        <v>44659</v>
      </c>
      <c r="C80" s="127">
        <v>18</v>
      </c>
      <c r="D80" s="147">
        <v>24142</v>
      </c>
      <c r="E80" s="147">
        <v>889353</v>
      </c>
      <c r="F80" s="147">
        <f t="shared" si="6"/>
        <v>49408.5</v>
      </c>
      <c r="G80" s="155">
        <f t="shared" si="7"/>
        <v>1341.2222222222222</v>
      </c>
      <c r="H80" s="127">
        <v>4118380</v>
      </c>
      <c r="I80" s="131">
        <v>4904</v>
      </c>
      <c r="J80" s="149">
        <f t="shared" si="5"/>
        <v>839.80016313213707</v>
      </c>
      <c r="K80" s="147">
        <v>18732</v>
      </c>
      <c r="L80" s="133">
        <v>1097.74</v>
      </c>
      <c r="M80" s="150">
        <f t="shared" si="8"/>
        <v>17.064149980869786</v>
      </c>
      <c r="N80" s="127">
        <v>16048</v>
      </c>
      <c r="O80" s="153">
        <v>3000</v>
      </c>
      <c r="P80" s="137">
        <f t="shared" si="9"/>
        <v>5.3493333333333331</v>
      </c>
      <c r="Q80" s="55"/>
      <c r="R80" s="55"/>
      <c r="S80" s="55"/>
      <c r="T80" s="55"/>
      <c r="U80" s="55"/>
      <c r="V80" s="55"/>
      <c r="W80" s="55"/>
      <c r="X80" s="55"/>
      <c r="Y80" s="55"/>
      <c r="Z80" s="55"/>
    </row>
    <row r="81" spans="1:26" ht="15.75" customHeight="1">
      <c r="A81" s="127" t="s">
        <v>187</v>
      </c>
      <c r="B81" s="142">
        <v>44655</v>
      </c>
      <c r="C81" s="127">
        <v>15</v>
      </c>
      <c r="D81" s="147">
        <v>6424</v>
      </c>
      <c r="E81" s="147">
        <v>500980</v>
      </c>
      <c r="F81" s="155">
        <f t="shared" si="6"/>
        <v>33398.666666666664</v>
      </c>
      <c r="G81" s="155">
        <f t="shared" si="7"/>
        <v>428.26666666666665</v>
      </c>
      <c r="H81" s="127">
        <v>1524596</v>
      </c>
      <c r="I81" s="131">
        <v>1500</v>
      </c>
      <c r="J81" s="149">
        <f t="shared" si="5"/>
        <v>1016.3973333333333</v>
      </c>
      <c r="K81" s="154">
        <v>0</v>
      </c>
      <c r="L81" s="133">
        <v>0</v>
      </c>
      <c r="M81" s="150"/>
      <c r="N81" s="127"/>
      <c r="O81" s="153"/>
      <c r="P81" s="137"/>
      <c r="Q81" s="55"/>
      <c r="R81" s="55"/>
      <c r="S81" s="55"/>
      <c r="T81" s="55"/>
      <c r="U81" s="55"/>
      <c r="V81" s="55"/>
      <c r="W81" s="55"/>
      <c r="X81" s="55"/>
      <c r="Y81" s="55"/>
      <c r="Z81" s="55"/>
    </row>
    <row r="82" spans="1:26" ht="15.75" customHeight="1">
      <c r="A82" s="127" t="s">
        <v>188</v>
      </c>
      <c r="B82" s="142">
        <v>44636</v>
      </c>
      <c r="C82" s="127">
        <v>12</v>
      </c>
      <c r="D82" s="127">
        <v>9555</v>
      </c>
      <c r="E82" s="127">
        <v>1402110</v>
      </c>
      <c r="F82" s="155">
        <f t="shared" si="6"/>
        <v>116842.5</v>
      </c>
      <c r="G82" s="155">
        <f t="shared" si="7"/>
        <v>796.25</v>
      </c>
      <c r="H82" s="127">
        <v>2108230</v>
      </c>
      <c r="I82" s="131">
        <v>3000</v>
      </c>
      <c r="J82" s="149">
        <f t="shared" si="5"/>
        <v>702.74333333333334</v>
      </c>
      <c r="K82" s="127"/>
      <c r="L82" s="133">
        <v>0</v>
      </c>
      <c r="M82" s="150"/>
      <c r="N82" s="127">
        <v>15591</v>
      </c>
      <c r="O82" s="153">
        <v>4187.07</v>
      </c>
      <c r="P82" s="137">
        <f t="shared" si="9"/>
        <v>3.7236062449397793</v>
      </c>
      <c r="Q82" s="55"/>
      <c r="R82" s="55"/>
      <c r="S82" s="55"/>
      <c r="T82" s="55"/>
      <c r="U82" s="55"/>
      <c r="V82" s="55"/>
      <c r="W82" s="55"/>
      <c r="X82" s="55"/>
      <c r="Y82" s="55"/>
      <c r="Z82" s="55"/>
    </row>
    <row r="83" spans="1:26" ht="15.75" customHeight="1">
      <c r="A83" s="127" t="s">
        <v>189</v>
      </c>
      <c r="B83" s="142">
        <v>44665</v>
      </c>
      <c r="C83" s="127">
        <v>25</v>
      </c>
      <c r="D83" s="127">
        <v>665567</v>
      </c>
      <c r="E83" s="127">
        <v>705575</v>
      </c>
      <c r="F83" s="155">
        <f t="shared" si="6"/>
        <v>28223</v>
      </c>
      <c r="G83" s="155">
        <f t="shared" si="7"/>
        <v>26622.68</v>
      </c>
      <c r="H83" s="127">
        <v>6513073</v>
      </c>
      <c r="I83" s="131">
        <v>9200</v>
      </c>
      <c r="J83" s="149">
        <f t="shared" si="5"/>
        <v>707.94271739130431</v>
      </c>
      <c r="K83" s="127"/>
      <c r="L83" s="133">
        <v>0</v>
      </c>
      <c r="M83" s="150"/>
      <c r="N83" s="127"/>
      <c r="O83" s="153"/>
      <c r="P83" s="137"/>
      <c r="Q83" s="55"/>
      <c r="R83" s="55"/>
      <c r="S83" s="55"/>
      <c r="T83" s="55"/>
      <c r="U83" s="55"/>
      <c r="V83" s="55"/>
      <c r="W83" s="55"/>
      <c r="X83" s="55"/>
      <c r="Y83" s="55"/>
      <c r="Z83" s="55"/>
    </row>
    <row r="84" spans="1:26" ht="15.75" customHeight="1">
      <c r="A84" s="127" t="s">
        <v>190</v>
      </c>
      <c r="B84" s="142">
        <v>44663</v>
      </c>
      <c r="C84" s="127">
        <v>4</v>
      </c>
      <c r="D84" s="127">
        <v>2171</v>
      </c>
      <c r="E84" s="127">
        <v>97188</v>
      </c>
      <c r="F84" s="155">
        <f t="shared" si="6"/>
        <v>24297</v>
      </c>
      <c r="G84" s="155">
        <f t="shared" si="7"/>
        <v>542.75</v>
      </c>
      <c r="H84" s="127"/>
      <c r="I84" s="131"/>
      <c r="J84" s="149"/>
      <c r="K84" s="127"/>
      <c r="L84" s="133">
        <v>0</v>
      </c>
      <c r="M84" s="150"/>
      <c r="N84" s="127"/>
      <c r="O84" s="153"/>
      <c r="P84" s="137"/>
      <c r="Q84" s="55"/>
      <c r="R84" s="55"/>
      <c r="S84" s="55"/>
      <c r="T84" s="55"/>
      <c r="U84" s="55"/>
      <c r="V84" s="55"/>
      <c r="W84" s="55"/>
      <c r="X84" s="55"/>
      <c r="Y84" s="55"/>
      <c r="Z84" s="55"/>
    </row>
    <row r="85" spans="1:26" ht="15.75" customHeight="1">
      <c r="A85" s="127" t="s">
        <v>191</v>
      </c>
      <c r="B85" s="142">
        <v>44655</v>
      </c>
      <c r="C85" s="127">
        <v>21</v>
      </c>
      <c r="D85" s="127">
        <v>20575</v>
      </c>
      <c r="E85" s="127">
        <v>1068578</v>
      </c>
      <c r="F85" s="155">
        <f t="shared" si="6"/>
        <v>50884.666666666664</v>
      </c>
      <c r="G85" s="155">
        <f t="shared" si="7"/>
        <v>979.76190476190482</v>
      </c>
      <c r="H85" s="127">
        <v>1502837</v>
      </c>
      <c r="I85" s="131">
        <v>5000</v>
      </c>
      <c r="J85" s="156">
        <f t="shared" si="5"/>
        <v>300.56740000000002</v>
      </c>
      <c r="K85" s="127"/>
      <c r="L85" s="133">
        <v>0</v>
      </c>
      <c r="M85" s="150"/>
      <c r="N85" s="127">
        <v>10441</v>
      </c>
      <c r="O85" s="153">
        <v>5000</v>
      </c>
      <c r="P85" s="137">
        <f>N85/O85</f>
        <v>2.0882000000000001</v>
      </c>
      <c r="Q85" s="55"/>
      <c r="R85" s="55"/>
      <c r="S85" s="55"/>
      <c r="T85" s="55"/>
      <c r="U85" s="55"/>
      <c r="V85" s="55"/>
      <c r="W85" s="55"/>
      <c r="X85" s="55"/>
      <c r="Y85" s="55"/>
      <c r="Z85" s="55"/>
    </row>
    <row r="86" spans="1:26" ht="15.75" customHeight="1">
      <c r="A86" s="157" t="s">
        <v>192</v>
      </c>
      <c r="B86" s="158">
        <v>44657</v>
      </c>
      <c r="C86" s="157">
        <v>15</v>
      </c>
      <c r="D86" s="157">
        <v>22485</v>
      </c>
      <c r="E86" s="157">
        <v>1086356</v>
      </c>
      <c r="F86" s="159">
        <f t="shared" si="6"/>
        <v>72423.733333333337</v>
      </c>
      <c r="G86" s="159">
        <f t="shared" si="7"/>
        <v>1499</v>
      </c>
      <c r="H86" s="157">
        <v>876933</v>
      </c>
      <c r="I86" s="131">
        <v>1486.5</v>
      </c>
      <c r="J86" s="160">
        <f t="shared" si="5"/>
        <v>589.9313824419778</v>
      </c>
      <c r="K86" s="157"/>
      <c r="L86" s="161">
        <v>0</v>
      </c>
      <c r="M86" s="150"/>
      <c r="N86" s="157">
        <v>2349</v>
      </c>
      <c r="O86" s="162">
        <v>1112.1400000000001</v>
      </c>
      <c r="P86" s="137">
        <f>N86/O86</f>
        <v>2.1121441545129209</v>
      </c>
      <c r="Q86" s="55"/>
      <c r="R86" s="55"/>
      <c r="S86" s="55"/>
      <c r="T86" s="55"/>
      <c r="U86" s="55"/>
      <c r="V86" s="55"/>
      <c r="W86" s="55"/>
      <c r="X86" s="55"/>
      <c r="Y86" s="55"/>
      <c r="Z86" s="55"/>
    </row>
    <row r="87" spans="1:26" ht="15.75" customHeight="1">
      <c r="A87" s="127" t="s">
        <v>193</v>
      </c>
      <c r="B87" s="142">
        <v>44696</v>
      </c>
      <c r="C87" s="127">
        <v>10</v>
      </c>
      <c r="D87" s="127">
        <v>253868</v>
      </c>
      <c r="E87" s="127">
        <v>854830</v>
      </c>
      <c r="F87" s="155">
        <f t="shared" si="6"/>
        <v>85483</v>
      </c>
      <c r="G87" s="155">
        <f t="shared" si="7"/>
        <v>25386.799999999999</v>
      </c>
      <c r="H87" s="127">
        <v>1490158</v>
      </c>
      <c r="I87" s="127">
        <v>1500</v>
      </c>
      <c r="J87" s="156">
        <f t="shared" si="5"/>
        <v>993.43866666666668</v>
      </c>
      <c r="K87" s="127">
        <v>243705</v>
      </c>
      <c r="L87" s="133">
        <v>1500</v>
      </c>
      <c r="M87" s="137">
        <f t="shared" si="8"/>
        <v>162.47</v>
      </c>
      <c r="N87" s="127">
        <v>1792</v>
      </c>
      <c r="O87" s="153">
        <v>0</v>
      </c>
      <c r="P87" s="137"/>
      <c r="Q87" s="55"/>
      <c r="R87" s="55"/>
      <c r="S87" s="55"/>
      <c r="T87" s="55"/>
      <c r="U87" s="55"/>
      <c r="V87" s="55"/>
      <c r="W87" s="55"/>
      <c r="X87" s="55"/>
      <c r="Y87" s="55"/>
      <c r="Z87" s="55"/>
    </row>
    <row r="88" spans="1:26" ht="15.75" customHeight="1">
      <c r="A88" s="127" t="s">
        <v>194</v>
      </c>
      <c r="B88" s="142">
        <v>44666</v>
      </c>
      <c r="C88" s="127">
        <v>15</v>
      </c>
      <c r="D88" s="127">
        <v>34023</v>
      </c>
      <c r="E88" s="127">
        <v>1371906</v>
      </c>
      <c r="F88" s="155">
        <f t="shared" si="6"/>
        <v>91460.4</v>
      </c>
      <c r="G88" s="155">
        <f t="shared" si="7"/>
        <v>2268.1999999999998</v>
      </c>
      <c r="H88" s="127">
        <v>1919273</v>
      </c>
      <c r="I88" s="127">
        <v>1996.09</v>
      </c>
      <c r="J88" s="156">
        <f t="shared" si="5"/>
        <v>961.51626429670011</v>
      </c>
      <c r="K88" s="127"/>
      <c r="L88" s="133"/>
      <c r="M88" s="137"/>
      <c r="N88" s="127">
        <v>25450</v>
      </c>
      <c r="O88" s="153">
        <v>2979.79</v>
      </c>
      <c r="P88" s="137">
        <f>N88/O88</f>
        <v>8.5408703297883406</v>
      </c>
      <c r="Q88" s="55"/>
      <c r="R88" s="55"/>
      <c r="S88" s="55"/>
      <c r="T88" s="55"/>
      <c r="U88" s="55"/>
      <c r="V88" s="55"/>
      <c r="W88" s="55"/>
      <c r="X88" s="55"/>
      <c r="Y88" s="55"/>
      <c r="Z88" s="55"/>
    </row>
    <row r="89" spans="1:26" ht="15.75" customHeight="1">
      <c r="A89" s="127" t="s">
        <v>195</v>
      </c>
      <c r="B89" s="142">
        <v>44669</v>
      </c>
      <c r="C89" s="127">
        <v>43</v>
      </c>
      <c r="D89" s="127">
        <v>42160</v>
      </c>
      <c r="E89" s="127">
        <v>3402991</v>
      </c>
      <c r="F89" s="155">
        <f t="shared" si="6"/>
        <v>79139.325581395344</v>
      </c>
      <c r="G89" s="155">
        <f t="shared" si="7"/>
        <v>980.46511627906978</v>
      </c>
      <c r="H89" s="127"/>
      <c r="I89" s="127"/>
      <c r="J89" s="156"/>
      <c r="K89" s="127"/>
      <c r="L89" s="133"/>
      <c r="M89" s="137"/>
      <c r="N89" s="127"/>
      <c r="O89" s="153"/>
      <c r="P89" s="137"/>
      <c r="Q89" s="55"/>
      <c r="R89" s="55"/>
      <c r="S89" s="55"/>
      <c r="T89" s="55"/>
      <c r="U89" s="55"/>
      <c r="V89" s="55"/>
      <c r="W89" s="55"/>
      <c r="X89" s="55"/>
      <c r="Y89" s="55"/>
      <c r="Z89" s="55"/>
    </row>
    <row r="90" spans="1:26" ht="15.75" customHeight="1">
      <c r="A90" s="127" t="s">
        <v>196</v>
      </c>
      <c r="B90" s="142">
        <v>44685</v>
      </c>
      <c r="C90" s="127">
        <v>8</v>
      </c>
      <c r="D90" s="127">
        <v>59472</v>
      </c>
      <c r="E90" s="127">
        <v>660754</v>
      </c>
      <c r="F90" s="155">
        <f t="shared" si="6"/>
        <v>82594.25</v>
      </c>
      <c r="G90" s="155">
        <f t="shared" si="7"/>
        <v>7434</v>
      </c>
      <c r="H90" s="127">
        <v>1484401</v>
      </c>
      <c r="I90" s="127">
        <v>1250</v>
      </c>
      <c r="J90" s="156">
        <f t="shared" si="5"/>
        <v>1187.5208</v>
      </c>
      <c r="K90" s="127">
        <v>35159</v>
      </c>
      <c r="L90" s="133">
        <v>1000</v>
      </c>
      <c r="M90" s="137">
        <f t="shared" si="8"/>
        <v>35.158999999999999</v>
      </c>
      <c r="N90" s="127">
        <v>11650</v>
      </c>
      <c r="O90" s="153">
        <v>2250.88</v>
      </c>
      <c r="P90" s="137">
        <f t="shared" ref="P90:P93" si="10">N90/O90</f>
        <v>5.1757534830821719</v>
      </c>
      <c r="Q90" s="55"/>
      <c r="R90" s="55"/>
      <c r="S90" s="55"/>
      <c r="T90" s="55"/>
      <c r="U90" s="55"/>
      <c r="V90" s="55"/>
      <c r="W90" s="55"/>
      <c r="X90" s="55"/>
      <c r="Y90" s="55"/>
      <c r="Z90" s="55"/>
    </row>
    <row r="91" spans="1:26" ht="15.75" customHeight="1">
      <c r="A91" s="127" t="s">
        <v>197</v>
      </c>
      <c r="B91" s="142">
        <v>44708</v>
      </c>
      <c r="C91" s="127">
        <v>10</v>
      </c>
      <c r="D91" s="127">
        <v>21463</v>
      </c>
      <c r="E91" s="127">
        <v>1140633</v>
      </c>
      <c r="F91" s="155">
        <f>E91/C91</f>
        <v>114063.3</v>
      </c>
      <c r="G91" s="155">
        <f t="shared" si="7"/>
        <v>2146.3000000000002</v>
      </c>
      <c r="H91" s="127">
        <v>1148239</v>
      </c>
      <c r="I91" s="127">
        <v>1500</v>
      </c>
      <c r="J91" s="149">
        <f t="shared" si="5"/>
        <v>765.49266666666665</v>
      </c>
      <c r="K91" s="127">
        <v>13932</v>
      </c>
      <c r="L91" s="133">
        <v>1500</v>
      </c>
      <c r="M91" s="137">
        <f t="shared" si="8"/>
        <v>9.2880000000000003</v>
      </c>
      <c r="N91" s="127">
        <v>2483</v>
      </c>
      <c r="O91" s="153">
        <v>1600</v>
      </c>
      <c r="P91" s="137">
        <f t="shared" si="10"/>
        <v>1.5518749999999999</v>
      </c>
      <c r="Q91" s="55"/>
      <c r="R91" s="55"/>
      <c r="S91" s="55"/>
      <c r="T91" s="55"/>
      <c r="U91" s="55"/>
      <c r="V91" s="55"/>
      <c r="W91" s="55"/>
      <c r="X91" s="55"/>
      <c r="Y91" s="55"/>
      <c r="Z91" s="55"/>
    </row>
    <row r="92" spans="1:26" ht="15.75" customHeight="1">
      <c r="A92" s="157" t="s">
        <v>198</v>
      </c>
      <c r="B92" s="158">
        <v>44669</v>
      </c>
      <c r="C92" s="157">
        <v>8</v>
      </c>
      <c r="D92" s="157">
        <v>31772</v>
      </c>
      <c r="E92" s="157">
        <v>1868695</v>
      </c>
      <c r="F92" s="159">
        <f t="shared" si="6"/>
        <v>233586.875</v>
      </c>
      <c r="G92" s="159">
        <f t="shared" si="7"/>
        <v>3971.5</v>
      </c>
      <c r="H92" s="157">
        <v>2938702</v>
      </c>
      <c r="I92" s="157">
        <v>2000</v>
      </c>
      <c r="J92" s="157">
        <f t="shared" si="5"/>
        <v>1469.3510000000001</v>
      </c>
      <c r="K92" s="157"/>
      <c r="L92" s="161"/>
      <c r="M92" s="137"/>
      <c r="N92" s="157">
        <v>20918</v>
      </c>
      <c r="O92" s="161">
        <v>8000</v>
      </c>
      <c r="P92" s="163">
        <f t="shared" si="10"/>
        <v>2.6147499999999999</v>
      </c>
      <c r="Q92" s="55"/>
      <c r="R92" s="55"/>
      <c r="S92" s="55"/>
      <c r="T92" s="55"/>
      <c r="U92" s="55"/>
      <c r="V92" s="55"/>
      <c r="W92" s="55"/>
      <c r="X92" s="55"/>
      <c r="Y92" s="55"/>
      <c r="Z92" s="55"/>
    </row>
    <row r="93" spans="1:26" ht="15.75" customHeight="1">
      <c r="A93" s="127" t="s">
        <v>199</v>
      </c>
      <c r="B93" s="142">
        <v>44615</v>
      </c>
      <c r="C93" s="127">
        <v>15</v>
      </c>
      <c r="D93" s="127">
        <v>27322</v>
      </c>
      <c r="E93" s="127">
        <v>2672527</v>
      </c>
      <c r="F93" s="155">
        <f t="shared" si="6"/>
        <v>178168.46666666667</v>
      </c>
      <c r="G93" s="155">
        <f t="shared" si="7"/>
        <v>1821.4666666666667</v>
      </c>
      <c r="H93" s="127">
        <v>3746302</v>
      </c>
      <c r="I93" s="127">
        <v>3000</v>
      </c>
      <c r="J93" s="127">
        <f t="shared" si="5"/>
        <v>1248.7673333333332</v>
      </c>
      <c r="K93" s="127"/>
      <c r="L93" s="133"/>
      <c r="M93" s="137"/>
      <c r="N93" s="127">
        <v>12570</v>
      </c>
      <c r="O93" s="133">
        <v>11313</v>
      </c>
      <c r="P93" s="127">
        <f t="shared" si="10"/>
        <v>1.1111111111111112</v>
      </c>
      <c r="Q93" s="55"/>
      <c r="R93" s="55"/>
      <c r="S93" s="55"/>
      <c r="T93" s="55"/>
      <c r="U93" s="55"/>
      <c r="V93" s="55"/>
      <c r="W93" s="55"/>
      <c r="X93" s="55"/>
      <c r="Y93" s="55"/>
      <c r="Z93" s="55"/>
    </row>
    <row r="94" spans="1:26" ht="15.75" customHeight="1">
      <c r="A94" s="127" t="s">
        <v>200</v>
      </c>
      <c r="B94" s="142">
        <v>44678</v>
      </c>
      <c r="C94" s="127">
        <v>28</v>
      </c>
      <c r="D94" s="127">
        <v>636060</v>
      </c>
      <c r="E94" s="127">
        <v>3782802</v>
      </c>
      <c r="F94" s="155">
        <f t="shared" si="6"/>
        <v>135100.07142857142</v>
      </c>
      <c r="G94" s="155">
        <f t="shared" si="7"/>
        <v>22716.428571428572</v>
      </c>
      <c r="H94" s="127">
        <v>4000</v>
      </c>
      <c r="I94" s="127">
        <v>3678892</v>
      </c>
      <c r="J94" s="127">
        <f t="shared" si="5"/>
        <v>1.0872838887360651E-3</v>
      </c>
      <c r="K94" s="127">
        <v>613898</v>
      </c>
      <c r="L94" s="133">
        <v>5000</v>
      </c>
      <c r="M94" s="137">
        <f t="shared" si="8"/>
        <v>122.7796</v>
      </c>
      <c r="N94" s="127"/>
      <c r="O94" s="133"/>
      <c r="P94" s="127"/>
      <c r="Q94" s="55"/>
      <c r="R94" s="55"/>
      <c r="S94" s="55"/>
      <c r="T94" s="55"/>
      <c r="U94" s="55"/>
      <c r="V94" s="55"/>
      <c r="W94" s="55"/>
      <c r="X94" s="55"/>
      <c r="Y94" s="55"/>
      <c r="Z94" s="55"/>
    </row>
    <row r="95" spans="1:26" ht="15.75" customHeight="1">
      <c r="A95" s="164" t="s">
        <v>201</v>
      </c>
      <c r="B95" s="165">
        <v>44687</v>
      </c>
      <c r="C95" s="166">
        <v>21</v>
      </c>
      <c r="D95" s="167">
        <v>46468</v>
      </c>
      <c r="E95" s="167">
        <v>2255435</v>
      </c>
      <c r="F95" s="168">
        <f t="shared" si="6"/>
        <v>107401.66666666667</v>
      </c>
      <c r="G95" s="168">
        <f t="shared" si="7"/>
        <v>2212.7619047619046</v>
      </c>
      <c r="H95" s="167">
        <v>2671532</v>
      </c>
      <c r="I95" s="169">
        <v>3000</v>
      </c>
      <c r="J95" s="170">
        <f t="shared" si="5"/>
        <v>890.51066666666668</v>
      </c>
      <c r="K95" s="167">
        <v>0</v>
      </c>
      <c r="L95" s="89">
        <v>0</v>
      </c>
      <c r="M95" s="171"/>
      <c r="N95" s="167">
        <v>31875</v>
      </c>
      <c r="O95" s="169">
        <v>5000</v>
      </c>
      <c r="P95" s="172">
        <f>N95/O95</f>
        <v>6.375</v>
      </c>
      <c r="Q95" s="55"/>
      <c r="R95" s="55"/>
      <c r="S95" s="55"/>
      <c r="T95" s="55"/>
      <c r="U95" s="55"/>
      <c r="V95" s="55"/>
      <c r="W95" s="55"/>
      <c r="X95" s="55"/>
      <c r="Y95" s="55"/>
      <c r="Z95" s="55"/>
    </row>
    <row r="96" spans="1:26" ht="15.75" customHeight="1">
      <c r="A96" s="173" t="s">
        <v>202</v>
      </c>
      <c r="B96" s="174">
        <v>44669</v>
      </c>
      <c r="C96" s="175">
        <v>48</v>
      </c>
      <c r="D96" s="176">
        <v>175827</v>
      </c>
      <c r="E96" s="176">
        <v>5167845</v>
      </c>
      <c r="F96" s="177">
        <f t="shared" si="6"/>
        <v>107663.4375</v>
      </c>
      <c r="G96" s="177">
        <f t="shared" si="7"/>
        <v>3663.0625</v>
      </c>
      <c r="H96" s="176">
        <v>2162560</v>
      </c>
      <c r="I96" s="178">
        <v>2000</v>
      </c>
      <c r="J96" s="179">
        <f t="shared" si="5"/>
        <v>1081.28</v>
      </c>
      <c r="K96" s="176">
        <v>106724</v>
      </c>
      <c r="L96" s="178">
        <v>4000</v>
      </c>
      <c r="M96" s="180">
        <f>K96/L96</f>
        <v>26.681000000000001</v>
      </c>
      <c r="N96" s="176">
        <v>0</v>
      </c>
      <c r="O96" s="181">
        <v>0</v>
      </c>
      <c r="P96" s="180"/>
      <c r="Q96" s="55"/>
      <c r="R96" s="55"/>
      <c r="S96" s="55"/>
      <c r="T96" s="55"/>
      <c r="U96" s="55"/>
      <c r="V96" s="55"/>
      <c r="W96" s="55"/>
      <c r="X96" s="55"/>
      <c r="Y96" s="55"/>
      <c r="Z96" s="55"/>
    </row>
    <row r="97" spans="1:26" ht="15.75" customHeight="1">
      <c r="A97" s="182" t="s">
        <v>203</v>
      </c>
      <c r="B97" s="183">
        <v>44708</v>
      </c>
      <c r="C97" s="166">
        <v>16</v>
      </c>
      <c r="D97" s="167">
        <v>45409</v>
      </c>
      <c r="E97" s="167">
        <v>2226737</v>
      </c>
      <c r="F97" s="168">
        <f t="shared" si="6"/>
        <v>139171.0625</v>
      </c>
      <c r="G97" s="168">
        <f t="shared" si="7"/>
        <v>2838.0625</v>
      </c>
      <c r="H97" s="167">
        <v>3315465</v>
      </c>
      <c r="I97" s="169">
        <v>3500</v>
      </c>
      <c r="J97" s="87">
        <f t="shared" si="5"/>
        <v>947.27571428571423</v>
      </c>
      <c r="K97" s="167">
        <v>0</v>
      </c>
      <c r="L97" s="169">
        <v>0</v>
      </c>
      <c r="M97" s="172"/>
      <c r="N97" s="167">
        <v>23783</v>
      </c>
      <c r="O97" s="169">
        <v>2250</v>
      </c>
      <c r="P97" s="172">
        <f>N97/O97</f>
        <v>10.570222222222222</v>
      </c>
      <c r="Q97" s="55"/>
      <c r="R97" s="55"/>
      <c r="S97" s="55"/>
      <c r="T97" s="55"/>
      <c r="U97" s="55"/>
      <c r="V97" s="55"/>
      <c r="W97" s="55"/>
      <c r="X97" s="55"/>
      <c r="Y97" s="55"/>
      <c r="Z97" s="55"/>
    </row>
    <row r="98" spans="1:26" ht="15.75" customHeight="1">
      <c r="A98" s="182" t="s">
        <v>204</v>
      </c>
      <c r="B98" s="183">
        <v>44737</v>
      </c>
      <c r="C98" s="166">
        <v>14</v>
      </c>
      <c r="D98" s="167">
        <v>38084</v>
      </c>
      <c r="E98" s="167">
        <v>768597</v>
      </c>
      <c r="F98" s="168">
        <f t="shared" si="6"/>
        <v>54899.785714285717</v>
      </c>
      <c r="G98" s="168">
        <f t="shared" si="7"/>
        <v>2720.2857142857142</v>
      </c>
      <c r="H98" s="167">
        <v>2629604</v>
      </c>
      <c r="I98" s="169">
        <v>2250</v>
      </c>
      <c r="J98" s="87">
        <f t="shared" si="5"/>
        <v>1168.712888888889</v>
      </c>
      <c r="K98" s="167">
        <v>14934</v>
      </c>
      <c r="L98" s="169">
        <v>1400</v>
      </c>
      <c r="M98" s="172">
        <f>K98/L98</f>
        <v>10.667142857142856</v>
      </c>
      <c r="N98" s="167">
        <v>7358</v>
      </c>
      <c r="O98" s="169">
        <v>1125</v>
      </c>
      <c r="P98" s="172">
        <f>N98/O98</f>
        <v>6.5404444444444447</v>
      </c>
      <c r="Q98" s="55"/>
      <c r="R98" s="55"/>
      <c r="S98" s="55"/>
      <c r="T98" s="55"/>
      <c r="U98" s="55"/>
      <c r="V98" s="55"/>
      <c r="W98" s="55"/>
      <c r="X98" s="55"/>
      <c r="Y98" s="55"/>
      <c r="Z98" s="55"/>
    </row>
    <row r="99" spans="1:26" ht="15.75" customHeight="1">
      <c r="A99" s="182" t="s">
        <v>205</v>
      </c>
      <c r="B99" s="183">
        <v>44728</v>
      </c>
      <c r="C99" s="166">
        <v>3</v>
      </c>
      <c r="D99" s="167">
        <v>120238</v>
      </c>
      <c r="E99" s="167">
        <v>416523</v>
      </c>
      <c r="F99" s="168">
        <f t="shared" si="6"/>
        <v>138841</v>
      </c>
      <c r="G99" s="168">
        <f t="shared" si="7"/>
        <v>40079.333333333336</v>
      </c>
      <c r="H99" s="167">
        <v>1144374</v>
      </c>
      <c r="I99" s="169">
        <v>1250</v>
      </c>
      <c r="J99" s="87">
        <f t="shared" si="5"/>
        <v>915.49919999999997</v>
      </c>
      <c r="K99" s="167">
        <v>114886</v>
      </c>
      <c r="L99" s="169">
        <v>456.54</v>
      </c>
      <c r="M99" s="172">
        <f>K99/L99</f>
        <v>251.64498181977481</v>
      </c>
      <c r="N99" s="167">
        <v>0</v>
      </c>
      <c r="O99" s="169">
        <v>0</v>
      </c>
      <c r="P99" s="171"/>
      <c r="Q99" s="55"/>
      <c r="R99" s="55"/>
      <c r="S99" s="55"/>
      <c r="T99" s="55"/>
      <c r="U99" s="55"/>
      <c r="V99" s="55"/>
      <c r="W99" s="55"/>
      <c r="X99" s="55"/>
      <c r="Y99" s="55"/>
      <c r="Z99" s="55"/>
    </row>
    <row r="100" spans="1:26" ht="15.75" customHeight="1">
      <c r="A100" s="184" t="s">
        <v>206</v>
      </c>
      <c r="B100" s="185">
        <v>44709</v>
      </c>
      <c r="C100" s="175">
        <v>30</v>
      </c>
      <c r="D100" s="176">
        <v>90346</v>
      </c>
      <c r="E100" s="176">
        <v>2022100</v>
      </c>
      <c r="F100" s="177">
        <f t="shared" si="6"/>
        <v>67403.333333333328</v>
      </c>
      <c r="G100" s="177">
        <f t="shared" si="7"/>
        <v>3011.5333333333333</v>
      </c>
      <c r="H100" s="176">
        <v>964836</v>
      </c>
      <c r="I100" s="178">
        <v>2250</v>
      </c>
      <c r="J100" s="186">
        <f t="shared" si="5"/>
        <v>428.81599999999997</v>
      </c>
      <c r="K100" s="176">
        <v>64465</v>
      </c>
      <c r="L100" s="178">
        <v>2250</v>
      </c>
      <c r="M100" s="180">
        <f>K100/L100</f>
        <v>28.65111111111111</v>
      </c>
      <c r="N100" s="176">
        <v>0</v>
      </c>
      <c r="O100" s="178">
        <v>0</v>
      </c>
      <c r="P100" s="187"/>
      <c r="Q100" s="55"/>
      <c r="R100" s="55"/>
      <c r="S100" s="55"/>
      <c r="T100" s="55"/>
      <c r="U100" s="55"/>
      <c r="V100" s="55"/>
      <c r="W100" s="55"/>
      <c r="X100" s="55"/>
      <c r="Y100" s="55"/>
      <c r="Z100" s="55"/>
    </row>
    <row r="101" spans="1:26" ht="15.75" customHeight="1">
      <c r="A101" s="182" t="s">
        <v>207</v>
      </c>
      <c r="B101" s="183">
        <v>44707</v>
      </c>
      <c r="C101" s="166">
        <v>10</v>
      </c>
      <c r="D101" s="167">
        <v>56548</v>
      </c>
      <c r="E101" s="167">
        <v>785997</v>
      </c>
      <c r="F101" s="168">
        <f t="shared" si="6"/>
        <v>78599.7</v>
      </c>
      <c r="G101" s="168">
        <f t="shared" si="7"/>
        <v>5654.8</v>
      </c>
      <c r="H101" s="167">
        <v>660795</v>
      </c>
      <c r="I101" s="169">
        <v>1250</v>
      </c>
      <c r="J101" s="170">
        <f t="shared" si="5"/>
        <v>528.63599999999997</v>
      </c>
      <c r="K101" s="167">
        <v>46910</v>
      </c>
      <c r="L101" s="169">
        <v>1250</v>
      </c>
      <c r="M101" s="172">
        <f>K101/L101</f>
        <v>37.527999999999999</v>
      </c>
      <c r="N101" s="167">
        <v>0</v>
      </c>
      <c r="O101" s="169">
        <v>0</v>
      </c>
      <c r="P101" s="171"/>
      <c r="Q101" s="55"/>
      <c r="R101" s="55"/>
      <c r="S101" s="55"/>
      <c r="T101" s="55"/>
      <c r="U101" s="55"/>
      <c r="V101" s="55"/>
      <c r="W101" s="55"/>
      <c r="X101" s="55"/>
      <c r="Y101" s="55"/>
      <c r="Z101" s="55"/>
    </row>
    <row r="102" spans="1:26" ht="15.75" customHeight="1">
      <c r="A102" s="182" t="s">
        <v>208</v>
      </c>
      <c r="B102" s="183">
        <v>44697</v>
      </c>
      <c r="C102" s="166">
        <v>22</v>
      </c>
      <c r="D102" s="167">
        <v>10312</v>
      </c>
      <c r="E102" s="167">
        <v>1865646</v>
      </c>
      <c r="F102" s="168">
        <f t="shared" si="6"/>
        <v>84802.090909090912</v>
      </c>
      <c r="G102" s="168">
        <f t="shared" si="7"/>
        <v>468.72727272727275</v>
      </c>
      <c r="H102" s="167">
        <v>0</v>
      </c>
      <c r="I102" s="169">
        <v>0</v>
      </c>
      <c r="J102" s="171"/>
      <c r="K102" s="167">
        <v>0</v>
      </c>
      <c r="L102" s="169">
        <v>0</v>
      </c>
      <c r="M102" s="171"/>
      <c r="N102" s="167">
        <v>0</v>
      </c>
      <c r="O102" s="169">
        <v>0</v>
      </c>
      <c r="P102" s="171"/>
      <c r="Q102" s="55"/>
      <c r="R102" s="55"/>
      <c r="S102" s="55"/>
      <c r="T102" s="55"/>
      <c r="U102" s="55"/>
      <c r="V102" s="55"/>
      <c r="W102" s="55"/>
      <c r="X102" s="55"/>
      <c r="Y102" s="55"/>
      <c r="Z102" s="55"/>
    </row>
    <row r="103" spans="1:26" ht="15.75" customHeight="1">
      <c r="A103" s="182" t="s">
        <v>209</v>
      </c>
      <c r="B103" s="183">
        <v>44729</v>
      </c>
      <c r="C103" s="166">
        <v>6</v>
      </c>
      <c r="D103" s="167">
        <v>49155</v>
      </c>
      <c r="E103" s="167">
        <v>595432</v>
      </c>
      <c r="F103" s="168">
        <f t="shared" si="6"/>
        <v>99238.666666666672</v>
      </c>
      <c r="G103" s="168">
        <f t="shared" si="7"/>
        <v>8192.5</v>
      </c>
      <c r="H103" s="167">
        <v>1122386</v>
      </c>
      <c r="I103" s="169">
        <v>1000</v>
      </c>
      <c r="J103" s="170">
        <f t="shared" ref="J103:J169" si="11">H103/I103</f>
        <v>1122.386</v>
      </c>
      <c r="K103" s="167">
        <v>35972</v>
      </c>
      <c r="L103" s="169">
        <v>1000</v>
      </c>
      <c r="M103" s="172">
        <f>K103/L103</f>
        <v>35.972000000000001</v>
      </c>
      <c r="N103" s="167">
        <v>5997</v>
      </c>
      <c r="O103" s="169">
        <v>2500</v>
      </c>
      <c r="P103" s="172">
        <f>N103/O103</f>
        <v>2.3988</v>
      </c>
      <c r="Q103" s="55"/>
      <c r="R103" s="55"/>
      <c r="S103" s="55"/>
      <c r="T103" s="55"/>
      <c r="U103" s="55"/>
      <c r="V103" s="55"/>
      <c r="W103" s="55"/>
      <c r="X103" s="55"/>
      <c r="Y103" s="55"/>
      <c r="Z103" s="55"/>
    </row>
    <row r="104" spans="1:26" ht="15.75" customHeight="1">
      <c r="A104" s="182" t="s">
        <v>210</v>
      </c>
      <c r="B104" s="183">
        <v>44715</v>
      </c>
      <c r="C104" s="166">
        <v>32</v>
      </c>
      <c r="D104" s="167">
        <v>73751</v>
      </c>
      <c r="E104" s="167">
        <v>1952709</v>
      </c>
      <c r="F104" s="168">
        <f t="shared" si="6"/>
        <v>61022.15625</v>
      </c>
      <c r="G104" s="168">
        <f t="shared" si="7"/>
        <v>2304.71875</v>
      </c>
      <c r="H104" s="167">
        <v>2390662</v>
      </c>
      <c r="I104" s="169">
        <v>2500</v>
      </c>
      <c r="J104" s="170">
        <f t="shared" si="11"/>
        <v>956.26480000000004</v>
      </c>
      <c r="K104" s="167">
        <v>28260</v>
      </c>
      <c r="L104" s="169">
        <v>2500</v>
      </c>
      <c r="M104" s="172">
        <f>K104/L104</f>
        <v>11.304</v>
      </c>
      <c r="N104" s="167">
        <v>12211</v>
      </c>
      <c r="O104" s="169">
        <v>2500</v>
      </c>
      <c r="P104" s="172">
        <f>N104/O104</f>
        <v>4.8844000000000003</v>
      </c>
      <c r="Q104" s="55"/>
      <c r="R104" s="55"/>
      <c r="S104" s="55"/>
      <c r="T104" s="55"/>
      <c r="U104" s="55"/>
      <c r="V104" s="55"/>
      <c r="W104" s="55"/>
      <c r="X104" s="55"/>
      <c r="Y104" s="55"/>
      <c r="Z104" s="55"/>
    </row>
    <row r="105" spans="1:26" ht="15.75" customHeight="1">
      <c r="A105" s="182" t="s">
        <v>211</v>
      </c>
      <c r="B105" s="183">
        <v>44695</v>
      </c>
      <c r="C105" s="166">
        <v>10</v>
      </c>
      <c r="D105" s="167">
        <v>107487</v>
      </c>
      <c r="E105" s="167">
        <v>333881</v>
      </c>
      <c r="F105" s="168">
        <f t="shared" si="6"/>
        <v>33388.1</v>
      </c>
      <c r="G105" s="168">
        <f t="shared" si="7"/>
        <v>10748.7</v>
      </c>
      <c r="H105" s="167">
        <v>648260</v>
      </c>
      <c r="I105" s="169">
        <v>1200</v>
      </c>
      <c r="J105" s="170">
        <f t="shared" si="11"/>
        <v>540.2166666666667</v>
      </c>
      <c r="K105" s="167">
        <v>105094</v>
      </c>
      <c r="L105" s="169">
        <v>1300</v>
      </c>
      <c r="M105" s="172">
        <f>K105/L105</f>
        <v>80.841538461538462</v>
      </c>
      <c r="N105" s="167">
        <v>60</v>
      </c>
      <c r="O105" s="169">
        <v>0</v>
      </c>
      <c r="P105" s="172"/>
      <c r="Q105" s="55"/>
      <c r="R105" s="55"/>
      <c r="S105" s="55"/>
      <c r="T105" s="55"/>
      <c r="U105" s="55"/>
      <c r="V105" s="55"/>
      <c r="W105" s="55"/>
      <c r="X105" s="55"/>
      <c r="Y105" s="55"/>
      <c r="Z105" s="55"/>
    </row>
    <row r="106" spans="1:26" ht="15.75" customHeight="1">
      <c r="A106" s="182" t="s">
        <v>212</v>
      </c>
      <c r="B106" s="183">
        <v>44707</v>
      </c>
      <c r="C106" s="166">
        <v>25</v>
      </c>
      <c r="D106" s="167">
        <v>43375</v>
      </c>
      <c r="E106" s="167">
        <v>3305531</v>
      </c>
      <c r="F106" s="168">
        <f t="shared" si="6"/>
        <v>132221.24</v>
      </c>
      <c r="G106" s="168">
        <f t="shared" si="7"/>
        <v>1735</v>
      </c>
      <c r="H106" s="167">
        <v>3366624</v>
      </c>
      <c r="I106" s="169">
        <v>3545.4</v>
      </c>
      <c r="J106" s="170">
        <f t="shared" si="11"/>
        <v>949.57522423421892</v>
      </c>
      <c r="K106" s="167">
        <v>1059</v>
      </c>
      <c r="L106" s="169">
        <v>0</v>
      </c>
      <c r="M106" s="172"/>
      <c r="N106" s="167">
        <v>24408</v>
      </c>
      <c r="O106" s="169">
        <v>4000</v>
      </c>
      <c r="P106" s="172">
        <f>N106/O106</f>
        <v>6.1020000000000003</v>
      </c>
      <c r="Q106" s="55"/>
      <c r="R106" s="55"/>
      <c r="S106" s="55"/>
      <c r="T106" s="55"/>
      <c r="U106" s="55"/>
      <c r="V106" s="55"/>
      <c r="W106" s="55"/>
      <c r="X106" s="55"/>
      <c r="Y106" s="55"/>
      <c r="Z106" s="55"/>
    </row>
    <row r="107" spans="1:26" ht="15.75" customHeight="1">
      <c r="A107" s="182" t="s">
        <v>213</v>
      </c>
      <c r="B107" s="183">
        <v>44732</v>
      </c>
      <c r="C107" s="166">
        <v>28</v>
      </c>
      <c r="D107" s="167">
        <v>175359</v>
      </c>
      <c r="E107" s="167">
        <v>5535970</v>
      </c>
      <c r="F107" s="168">
        <f t="shared" si="6"/>
        <v>197713.21428571429</v>
      </c>
      <c r="G107" s="168">
        <f t="shared" si="7"/>
        <v>6262.8214285714284</v>
      </c>
      <c r="H107" s="167">
        <v>1429516</v>
      </c>
      <c r="I107" s="169">
        <v>1063.82</v>
      </c>
      <c r="J107" s="170">
        <f t="shared" si="11"/>
        <v>1343.7574025681038</v>
      </c>
      <c r="K107" s="167">
        <v>126789</v>
      </c>
      <c r="L107" s="169">
        <v>836.89</v>
      </c>
      <c r="M107" s="172">
        <f t="shared" ref="M107:M185" si="12">K107/L107</f>
        <v>151.50019715852741</v>
      </c>
      <c r="N107" s="167">
        <v>16201</v>
      </c>
      <c r="O107" s="169">
        <v>5200</v>
      </c>
      <c r="P107" s="172">
        <f>N107/O107</f>
        <v>3.1155769230769232</v>
      </c>
      <c r="Q107" s="55"/>
      <c r="R107" s="55"/>
      <c r="S107" s="55"/>
      <c r="T107" s="55"/>
      <c r="U107" s="55"/>
      <c r="V107" s="55"/>
      <c r="W107" s="55"/>
      <c r="X107" s="55"/>
      <c r="Y107" s="55"/>
      <c r="Z107" s="55"/>
    </row>
    <row r="108" spans="1:26" ht="15.75" customHeight="1">
      <c r="A108" s="182" t="s">
        <v>214</v>
      </c>
      <c r="B108" s="183">
        <v>44706</v>
      </c>
      <c r="C108" s="166">
        <v>10</v>
      </c>
      <c r="D108" s="167">
        <v>62715</v>
      </c>
      <c r="E108" s="167">
        <v>1768872</v>
      </c>
      <c r="F108" s="168">
        <f t="shared" si="6"/>
        <v>176887.2</v>
      </c>
      <c r="G108" s="168">
        <f t="shared" si="7"/>
        <v>6271.5</v>
      </c>
      <c r="H108" s="167">
        <v>915217</v>
      </c>
      <c r="I108" s="169">
        <v>1500</v>
      </c>
      <c r="J108" s="170">
        <f t="shared" si="11"/>
        <v>610.14466666666669</v>
      </c>
      <c r="K108" s="167">
        <v>40254</v>
      </c>
      <c r="L108" s="169">
        <v>0</v>
      </c>
      <c r="M108" s="172"/>
      <c r="N108" s="167">
        <v>6903</v>
      </c>
      <c r="O108" s="169">
        <v>1500</v>
      </c>
      <c r="P108" s="172">
        <f>N108/O108</f>
        <v>4.6020000000000003</v>
      </c>
      <c r="Q108" s="55"/>
      <c r="R108" s="55"/>
      <c r="S108" s="55"/>
      <c r="T108" s="55"/>
      <c r="U108" s="55"/>
      <c r="V108" s="55"/>
      <c r="W108" s="55"/>
      <c r="X108" s="55"/>
      <c r="Y108" s="55"/>
      <c r="Z108" s="55"/>
    </row>
    <row r="109" spans="1:26" ht="15.75" customHeight="1">
      <c r="A109" s="182" t="s">
        <v>215</v>
      </c>
      <c r="B109" s="183">
        <v>44719</v>
      </c>
      <c r="C109" s="166">
        <v>12</v>
      </c>
      <c r="D109" s="167">
        <v>66203</v>
      </c>
      <c r="E109" s="167">
        <v>1242641</v>
      </c>
      <c r="F109" s="168">
        <f t="shared" si="6"/>
        <v>103553.41666666667</v>
      </c>
      <c r="G109" s="168">
        <f t="shared" si="7"/>
        <v>5516.916666666667</v>
      </c>
      <c r="H109" s="167">
        <v>3273161</v>
      </c>
      <c r="I109" s="169">
        <v>4000</v>
      </c>
      <c r="J109" s="170">
        <f t="shared" si="11"/>
        <v>818.29025000000001</v>
      </c>
      <c r="K109" s="167">
        <v>48422</v>
      </c>
      <c r="L109" s="169">
        <v>3486.32</v>
      </c>
      <c r="M109" s="172">
        <f t="shared" si="12"/>
        <v>13.889143853690998</v>
      </c>
      <c r="N109" s="167">
        <v>1216</v>
      </c>
      <c r="O109" s="169">
        <v>0</v>
      </c>
      <c r="P109" s="172"/>
      <c r="Q109" s="55"/>
      <c r="R109" s="55"/>
      <c r="S109" s="55"/>
      <c r="T109" s="55"/>
      <c r="U109" s="55"/>
      <c r="V109" s="55"/>
      <c r="W109" s="55"/>
      <c r="X109" s="55"/>
      <c r="Y109" s="55"/>
      <c r="Z109" s="55"/>
    </row>
    <row r="110" spans="1:26" ht="15.75" customHeight="1">
      <c r="A110" s="182" t="s">
        <v>216</v>
      </c>
      <c r="B110" s="183">
        <v>44757</v>
      </c>
      <c r="C110" s="166">
        <v>10</v>
      </c>
      <c r="D110" s="167">
        <v>25556</v>
      </c>
      <c r="E110" s="167">
        <v>680442</v>
      </c>
      <c r="F110" s="168">
        <f t="shared" si="6"/>
        <v>68044.2</v>
      </c>
      <c r="G110" s="168">
        <f t="shared" si="7"/>
        <v>2555.6</v>
      </c>
      <c r="H110" s="167">
        <v>1502740</v>
      </c>
      <c r="I110" s="169">
        <v>1247.83</v>
      </c>
      <c r="J110" s="170">
        <f t="shared" si="11"/>
        <v>1204.282634653759</v>
      </c>
      <c r="K110" s="167">
        <v>20170</v>
      </c>
      <c r="L110" s="169">
        <v>1500</v>
      </c>
      <c r="M110" s="172">
        <f t="shared" si="12"/>
        <v>13.446666666666667</v>
      </c>
      <c r="N110" s="167">
        <v>505</v>
      </c>
      <c r="O110" s="169">
        <v>0</v>
      </c>
      <c r="P110" s="172"/>
      <c r="Q110" s="55"/>
      <c r="R110" s="55"/>
      <c r="S110" s="55"/>
      <c r="T110" s="55"/>
      <c r="U110" s="55"/>
      <c r="V110" s="55"/>
      <c r="W110" s="55"/>
      <c r="X110" s="55"/>
      <c r="Y110" s="55"/>
      <c r="Z110" s="55"/>
    </row>
    <row r="111" spans="1:26" ht="15.75" customHeight="1">
      <c r="A111" s="182" t="s">
        <v>217</v>
      </c>
      <c r="B111" s="183">
        <v>44775</v>
      </c>
      <c r="C111" s="166">
        <v>10</v>
      </c>
      <c r="D111" s="167">
        <v>67001</v>
      </c>
      <c r="E111" s="167">
        <v>550248</v>
      </c>
      <c r="F111" s="168">
        <f t="shared" si="6"/>
        <v>55024.800000000003</v>
      </c>
      <c r="G111" s="168">
        <f t="shared" si="7"/>
        <v>6700.1</v>
      </c>
      <c r="H111" s="167">
        <v>2239773</v>
      </c>
      <c r="I111" s="169">
        <v>2500</v>
      </c>
      <c r="J111" s="170">
        <f t="shared" si="11"/>
        <v>895.90920000000006</v>
      </c>
      <c r="K111" s="167">
        <v>53610</v>
      </c>
      <c r="L111" s="169">
        <v>2000</v>
      </c>
      <c r="M111" s="172">
        <f t="shared" si="12"/>
        <v>26.805</v>
      </c>
      <c r="N111" s="167">
        <v>200</v>
      </c>
      <c r="O111" s="169">
        <v>0</v>
      </c>
      <c r="P111" s="172"/>
      <c r="Q111" s="55"/>
      <c r="R111" s="55"/>
      <c r="S111" s="55"/>
      <c r="T111" s="55"/>
      <c r="U111" s="55"/>
      <c r="V111" s="55"/>
      <c r="W111" s="55"/>
      <c r="X111" s="55"/>
      <c r="Y111" s="55"/>
      <c r="Z111" s="55"/>
    </row>
    <row r="112" spans="1:26" ht="15.75" customHeight="1">
      <c r="A112" s="182" t="s">
        <v>218</v>
      </c>
      <c r="B112" s="183">
        <v>44767</v>
      </c>
      <c r="C112" s="166">
        <v>15</v>
      </c>
      <c r="D112" s="167">
        <v>20956</v>
      </c>
      <c r="E112" s="167">
        <v>1709527</v>
      </c>
      <c r="F112" s="168">
        <f t="shared" si="6"/>
        <v>113968.46666666666</v>
      </c>
      <c r="G112" s="168">
        <f t="shared" si="7"/>
        <v>1397.0666666666666</v>
      </c>
      <c r="H112" s="167">
        <v>696464</v>
      </c>
      <c r="I112" s="169">
        <v>750</v>
      </c>
      <c r="J112" s="170">
        <f t="shared" si="11"/>
        <v>928.61866666666663</v>
      </c>
      <c r="K112" s="167">
        <v>10054</v>
      </c>
      <c r="L112" s="169">
        <v>750</v>
      </c>
      <c r="M112" s="172">
        <f t="shared" si="12"/>
        <v>13.405333333333333</v>
      </c>
      <c r="N112" s="167">
        <v>276</v>
      </c>
      <c r="O112" s="169">
        <v>0</v>
      </c>
      <c r="P112" s="172"/>
      <c r="Q112" s="55"/>
      <c r="R112" s="55"/>
      <c r="S112" s="55"/>
      <c r="T112" s="55"/>
      <c r="U112" s="55"/>
      <c r="V112" s="55"/>
      <c r="W112" s="55"/>
      <c r="X112" s="55"/>
      <c r="Y112" s="55"/>
      <c r="Z112" s="55"/>
    </row>
    <row r="113" spans="1:26" ht="15.75" customHeight="1">
      <c r="A113" s="182" t="s">
        <v>219</v>
      </c>
      <c r="B113" s="183">
        <v>44775</v>
      </c>
      <c r="C113" s="166">
        <v>42</v>
      </c>
      <c r="D113" s="167">
        <v>69827</v>
      </c>
      <c r="E113" s="167">
        <v>3504384</v>
      </c>
      <c r="F113" s="168">
        <f t="shared" si="6"/>
        <v>83437.71428571429</v>
      </c>
      <c r="G113" s="168">
        <f t="shared" si="7"/>
        <v>1662.547619047619</v>
      </c>
      <c r="H113" s="167">
        <v>1089645</v>
      </c>
      <c r="I113" s="169">
        <v>1144.82</v>
      </c>
      <c r="J113" s="170">
        <f t="shared" si="11"/>
        <v>951.80465051274439</v>
      </c>
      <c r="K113" s="167">
        <v>17504</v>
      </c>
      <c r="L113" s="169">
        <v>1170.75</v>
      </c>
      <c r="M113" s="172">
        <f t="shared" si="12"/>
        <v>14.951099722400171</v>
      </c>
      <c r="N113" s="167">
        <v>411</v>
      </c>
      <c r="O113" s="169">
        <v>0</v>
      </c>
      <c r="P113" s="172"/>
      <c r="Q113" s="55"/>
      <c r="R113" s="55"/>
      <c r="S113" s="55"/>
      <c r="T113" s="55"/>
      <c r="U113" s="55"/>
      <c r="V113" s="55"/>
      <c r="W113" s="55"/>
      <c r="X113" s="55"/>
      <c r="Y113" s="55"/>
      <c r="Z113" s="55"/>
    </row>
    <row r="114" spans="1:26" ht="15.75" customHeight="1">
      <c r="A114" s="182" t="s">
        <v>220</v>
      </c>
      <c r="B114" s="183">
        <v>44690</v>
      </c>
      <c r="C114" s="166">
        <v>38</v>
      </c>
      <c r="D114" s="167">
        <v>86986</v>
      </c>
      <c r="E114" s="167">
        <v>3244791</v>
      </c>
      <c r="F114" s="168">
        <f t="shared" si="6"/>
        <v>85389.236842105267</v>
      </c>
      <c r="G114" s="168">
        <f t="shared" si="7"/>
        <v>2289.1052631578946</v>
      </c>
      <c r="H114" s="167">
        <v>2407316</v>
      </c>
      <c r="I114" s="169">
        <v>2750</v>
      </c>
      <c r="J114" s="170">
        <f t="shared" si="11"/>
        <v>875.38763636363637</v>
      </c>
      <c r="K114" s="167">
        <v>42598</v>
      </c>
      <c r="L114" s="169">
        <v>4585</v>
      </c>
      <c r="M114" s="172">
        <f t="shared" si="12"/>
        <v>9.2907306434023997</v>
      </c>
      <c r="N114" s="167">
        <v>0</v>
      </c>
      <c r="O114" s="169">
        <v>0</v>
      </c>
      <c r="P114" s="172"/>
      <c r="Q114" s="55"/>
      <c r="R114" s="55"/>
      <c r="S114" s="55"/>
      <c r="T114" s="55"/>
      <c r="U114" s="55"/>
      <c r="V114" s="55"/>
      <c r="W114" s="55"/>
      <c r="X114" s="55"/>
      <c r="Y114" s="55"/>
      <c r="Z114" s="55"/>
    </row>
    <row r="115" spans="1:26" ht="15.75" customHeight="1">
      <c r="A115" s="182" t="s">
        <v>221</v>
      </c>
      <c r="B115" s="183">
        <v>44748</v>
      </c>
      <c r="C115" s="166">
        <v>25</v>
      </c>
      <c r="D115" s="167">
        <v>99367</v>
      </c>
      <c r="E115" s="167">
        <v>1576328</v>
      </c>
      <c r="F115" s="168">
        <f t="shared" si="6"/>
        <v>63053.120000000003</v>
      </c>
      <c r="G115" s="168">
        <f t="shared" si="7"/>
        <v>3974.68</v>
      </c>
      <c r="H115" s="167">
        <v>4353037</v>
      </c>
      <c r="I115" s="169">
        <v>4106.8100000000004</v>
      </c>
      <c r="J115" s="170">
        <f t="shared" si="11"/>
        <v>1059.9557807641454</v>
      </c>
      <c r="K115" s="167">
        <v>63696</v>
      </c>
      <c r="L115" s="169">
        <v>1375.74</v>
      </c>
      <c r="M115" s="172">
        <f t="shared" si="12"/>
        <v>46.299446116271973</v>
      </c>
      <c r="N115" s="167">
        <v>18703</v>
      </c>
      <c r="O115" s="169">
        <v>3996.95</v>
      </c>
      <c r="P115" s="172">
        <f t="shared" ref="P115:P116" si="13">N115/O115</f>
        <v>4.6793179799597198</v>
      </c>
      <c r="Q115" s="55"/>
      <c r="R115" s="55"/>
      <c r="S115" s="55"/>
      <c r="T115" s="55"/>
      <c r="U115" s="55"/>
      <c r="V115" s="55"/>
      <c r="W115" s="55"/>
      <c r="X115" s="55"/>
      <c r="Y115" s="55"/>
      <c r="Z115" s="55"/>
    </row>
    <row r="116" spans="1:26" ht="15.75" customHeight="1">
      <c r="A116" s="182" t="s">
        <v>222</v>
      </c>
      <c r="B116" s="183">
        <v>44775</v>
      </c>
      <c r="C116" s="166">
        <v>40</v>
      </c>
      <c r="D116" s="167">
        <v>287453</v>
      </c>
      <c r="E116" s="167">
        <v>2965254</v>
      </c>
      <c r="F116" s="168">
        <f t="shared" si="6"/>
        <v>74131.350000000006</v>
      </c>
      <c r="G116" s="168">
        <f t="shared" si="7"/>
        <v>7186.3249999999998</v>
      </c>
      <c r="H116" s="167">
        <v>3198210</v>
      </c>
      <c r="I116" s="169">
        <v>2500</v>
      </c>
      <c r="J116" s="170">
        <f t="shared" si="11"/>
        <v>1279.2840000000001</v>
      </c>
      <c r="K116" s="167">
        <v>245470</v>
      </c>
      <c r="L116" s="169">
        <v>1000</v>
      </c>
      <c r="M116" s="172">
        <f t="shared" si="12"/>
        <v>245.47</v>
      </c>
      <c r="N116" s="167">
        <v>12468</v>
      </c>
      <c r="O116" s="169">
        <v>1500</v>
      </c>
      <c r="P116" s="172">
        <f t="shared" si="13"/>
        <v>8.3119999999999994</v>
      </c>
      <c r="Q116" s="55"/>
      <c r="R116" s="55"/>
      <c r="S116" s="55"/>
      <c r="T116" s="55"/>
      <c r="U116" s="55"/>
      <c r="V116" s="55"/>
      <c r="W116" s="55"/>
      <c r="X116" s="55"/>
      <c r="Y116" s="55"/>
      <c r="Z116" s="55"/>
    </row>
    <row r="117" spans="1:26" ht="15.75" customHeight="1">
      <c r="A117" s="182" t="s">
        <v>223</v>
      </c>
      <c r="B117" s="183">
        <v>44775</v>
      </c>
      <c r="C117" s="166">
        <v>36</v>
      </c>
      <c r="D117" s="167">
        <v>53636</v>
      </c>
      <c r="E117" s="167">
        <v>1611734</v>
      </c>
      <c r="F117" s="168">
        <f t="shared" si="6"/>
        <v>44770.388888888891</v>
      </c>
      <c r="G117" s="168">
        <f t="shared" si="7"/>
        <v>1489.8888888888889</v>
      </c>
      <c r="H117" s="167">
        <v>2398184</v>
      </c>
      <c r="I117" s="169">
        <v>2600</v>
      </c>
      <c r="J117" s="170">
        <f t="shared" si="11"/>
        <v>922.37846153846158</v>
      </c>
      <c r="K117" s="167">
        <v>11493</v>
      </c>
      <c r="L117" s="169">
        <v>1100</v>
      </c>
      <c r="M117" s="172">
        <f t="shared" si="12"/>
        <v>10.448181818181817</v>
      </c>
      <c r="N117" s="167">
        <v>10624</v>
      </c>
      <c r="O117" s="169">
        <v>1600</v>
      </c>
      <c r="P117" s="172">
        <f>N117/O117</f>
        <v>6.64</v>
      </c>
      <c r="Q117" s="55"/>
      <c r="R117" s="55"/>
      <c r="S117" s="55"/>
      <c r="T117" s="55"/>
      <c r="U117" s="55"/>
      <c r="V117" s="55"/>
      <c r="W117" s="55"/>
      <c r="X117" s="55"/>
      <c r="Y117" s="55"/>
      <c r="Z117" s="55"/>
    </row>
    <row r="118" spans="1:26" ht="15.75" customHeight="1">
      <c r="A118" s="182" t="s">
        <v>224</v>
      </c>
      <c r="B118" s="183">
        <v>44778</v>
      </c>
      <c r="C118" s="166">
        <v>12</v>
      </c>
      <c r="D118" s="167">
        <v>981138</v>
      </c>
      <c r="E118" s="167">
        <v>691810</v>
      </c>
      <c r="F118" s="168">
        <f t="shared" si="6"/>
        <v>57650.833333333336</v>
      </c>
      <c r="G118" s="168">
        <f t="shared" si="7"/>
        <v>81761.5</v>
      </c>
      <c r="H118" s="167">
        <v>3983478</v>
      </c>
      <c r="I118" s="169">
        <v>2500</v>
      </c>
      <c r="J118" s="170">
        <f t="shared" si="11"/>
        <v>1593.3912</v>
      </c>
      <c r="K118" s="167">
        <v>976252</v>
      </c>
      <c r="L118" s="169">
        <v>2087.33</v>
      </c>
      <c r="M118" s="172">
        <f t="shared" si="12"/>
        <v>467.70371718894472</v>
      </c>
      <c r="N118" s="167">
        <v>0</v>
      </c>
      <c r="O118" s="169">
        <v>0</v>
      </c>
      <c r="P118" s="172"/>
      <c r="Q118" s="55"/>
      <c r="R118" s="55"/>
      <c r="S118" s="55"/>
      <c r="T118" s="55"/>
      <c r="U118" s="55"/>
      <c r="V118" s="55"/>
      <c r="W118" s="55"/>
      <c r="X118" s="55"/>
      <c r="Y118" s="55"/>
      <c r="Z118" s="55"/>
    </row>
    <row r="119" spans="1:26" ht="15.75" customHeight="1">
      <c r="A119" s="182" t="s">
        <v>225</v>
      </c>
      <c r="B119" s="183">
        <v>44816</v>
      </c>
      <c r="C119" s="166">
        <v>10</v>
      </c>
      <c r="D119" s="167">
        <v>375817</v>
      </c>
      <c r="E119" s="167">
        <v>925626</v>
      </c>
      <c r="F119" s="168">
        <f t="shared" si="6"/>
        <v>92562.6</v>
      </c>
      <c r="G119" s="168">
        <f t="shared" si="7"/>
        <v>37581.699999999997</v>
      </c>
      <c r="H119" s="167">
        <v>1615677</v>
      </c>
      <c r="I119" s="169">
        <v>1500</v>
      </c>
      <c r="J119" s="170">
        <f t="shared" si="11"/>
        <v>1077.1179999999999</v>
      </c>
      <c r="K119" s="167">
        <v>359094</v>
      </c>
      <c r="L119" s="169">
        <v>1500</v>
      </c>
      <c r="M119" s="172">
        <f t="shared" si="12"/>
        <v>239.39599999999999</v>
      </c>
      <c r="N119" s="167">
        <v>14051</v>
      </c>
      <c r="O119" s="169">
        <v>1500</v>
      </c>
      <c r="P119" s="172">
        <f t="shared" ref="P119:P121" si="14">N119/O119</f>
        <v>9.3673333333333328</v>
      </c>
      <c r="Q119" s="55"/>
      <c r="R119" s="55"/>
      <c r="S119" s="55"/>
      <c r="T119" s="55"/>
      <c r="U119" s="55"/>
      <c r="V119" s="55"/>
      <c r="W119" s="55"/>
      <c r="X119" s="55"/>
      <c r="Y119" s="55"/>
      <c r="Z119" s="55"/>
    </row>
    <row r="120" spans="1:26" ht="15.75" customHeight="1">
      <c r="A120" s="182" t="s">
        <v>226</v>
      </c>
      <c r="B120" s="183">
        <v>44816</v>
      </c>
      <c r="C120" s="166">
        <v>10</v>
      </c>
      <c r="D120" s="167">
        <v>16338</v>
      </c>
      <c r="E120" s="167">
        <v>1550829</v>
      </c>
      <c r="F120" s="168">
        <f t="shared" si="6"/>
        <v>155082.9</v>
      </c>
      <c r="G120" s="168">
        <f t="shared" si="7"/>
        <v>1633.8</v>
      </c>
      <c r="H120" s="167">
        <v>2150776</v>
      </c>
      <c r="I120" s="169">
        <v>2000</v>
      </c>
      <c r="J120" s="170">
        <f t="shared" si="11"/>
        <v>1075.3879999999999</v>
      </c>
      <c r="K120" s="167">
        <v>206</v>
      </c>
      <c r="L120" s="169">
        <v>0</v>
      </c>
      <c r="M120" s="172"/>
      <c r="N120" s="167">
        <v>10877</v>
      </c>
      <c r="O120" s="169">
        <v>2000</v>
      </c>
      <c r="P120" s="172">
        <f t="shared" si="14"/>
        <v>5.4385000000000003</v>
      </c>
      <c r="Q120" s="55"/>
      <c r="R120" s="55"/>
      <c r="S120" s="55"/>
      <c r="T120" s="55"/>
      <c r="U120" s="55"/>
      <c r="V120" s="55"/>
      <c r="W120" s="55"/>
      <c r="X120" s="55"/>
      <c r="Y120" s="55"/>
      <c r="Z120" s="55"/>
    </row>
    <row r="121" spans="1:26" ht="15.75" customHeight="1">
      <c r="A121" s="182" t="s">
        <v>227</v>
      </c>
      <c r="B121" s="183">
        <v>44824</v>
      </c>
      <c r="C121" s="166">
        <v>23</v>
      </c>
      <c r="D121" s="167">
        <v>330236</v>
      </c>
      <c r="E121" s="167">
        <v>2113856</v>
      </c>
      <c r="F121" s="168">
        <f t="shared" si="6"/>
        <v>91906.782608695648</v>
      </c>
      <c r="G121" s="168">
        <f t="shared" si="7"/>
        <v>14358.08695652174</v>
      </c>
      <c r="H121" s="167">
        <v>4826600</v>
      </c>
      <c r="I121" s="169">
        <v>4000</v>
      </c>
      <c r="J121" s="170">
        <f t="shared" si="11"/>
        <v>1206.6500000000001</v>
      </c>
      <c r="K121" s="167">
        <v>298954</v>
      </c>
      <c r="L121" s="169">
        <v>1500</v>
      </c>
      <c r="M121" s="172">
        <f t="shared" si="12"/>
        <v>199.30266666666665</v>
      </c>
      <c r="N121" s="167">
        <v>23029</v>
      </c>
      <c r="O121" s="169">
        <v>2500</v>
      </c>
      <c r="P121" s="172">
        <f t="shared" si="14"/>
        <v>9.2116000000000007</v>
      </c>
      <c r="Q121" s="55"/>
      <c r="R121" s="55"/>
      <c r="S121" s="55"/>
      <c r="T121" s="55"/>
      <c r="U121" s="55"/>
      <c r="V121" s="55"/>
      <c r="W121" s="55"/>
      <c r="X121" s="55"/>
      <c r="Y121" s="55"/>
      <c r="Z121" s="55"/>
    </row>
    <row r="122" spans="1:26" ht="15.75" customHeight="1">
      <c r="A122" s="182" t="s">
        <v>228</v>
      </c>
      <c r="B122" s="183">
        <v>44806</v>
      </c>
      <c r="C122" s="166">
        <v>15</v>
      </c>
      <c r="D122" s="167">
        <v>193825</v>
      </c>
      <c r="E122" s="167">
        <v>1036368</v>
      </c>
      <c r="F122" s="168">
        <f t="shared" si="6"/>
        <v>69091.199999999997</v>
      </c>
      <c r="G122" s="168">
        <f t="shared" si="7"/>
        <v>12921.666666666666</v>
      </c>
      <c r="H122" s="167">
        <v>2119128</v>
      </c>
      <c r="I122" s="169">
        <v>2400</v>
      </c>
      <c r="J122" s="170">
        <f t="shared" si="11"/>
        <v>882.97</v>
      </c>
      <c r="K122" s="167">
        <v>181121</v>
      </c>
      <c r="L122" s="169">
        <v>1193.6600000000001</v>
      </c>
      <c r="M122" s="172">
        <f t="shared" si="12"/>
        <v>151.73583767572003</v>
      </c>
      <c r="N122" s="167">
        <v>476</v>
      </c>
      <c r="O122" s="169">
        <v>0</v>
      </c>
      <c r="P122" s="172"/>
      <c r="Q122" s="55"/>
      <c r="R122" s="55"/>
      <c r="S122" s="55"/>
      <c r="T122" s="55"/>
      <c r="U122" s="55"/>
      <c r="V122" s="55"/>
      <c r="W122" s="55"/>
      <c r="X122" s="55"/>
      <c r="Y122" s="55"/>
      <c r="Z122" s="55"/>
    </row>
    <row r="123" spans="1:26" ht="15.75" customHeight="1">
      <c r="A123" s="182" t="s">
        <v>229</v>
      </c>
      <c r="B123" s="183">
        <v>44816</v>
      </c>
      <c r="C123" s="166">
        <v>41</v>
      </c>
      <c r="D123" s="167">
        <v>166790</v>
      </c>
      <c r="E123" s="167">
        <v>3463506</v>
      </c>
      <c r="F123" s="168">
        <f t="shared" si="6"/>
        <v>84475.756097560981</v>
      </c>
      <c r="G123" s="168">
        <f t="shared" si="7"/>
        <v>4068.0487804878048</v>
      </c>
      <c r="H123" s="167">
        <v>4781905</v>
      </c>
      <c r="I123" s="169">
        <v>4500</v>
      </c>
      <c r="J123" s="170">
        <f t="shared" si="11"/>
        <v>1062.6455555555556</v>
      </c>
      <c r="K123" s="167">
        <v>85960</v>
      </c>
      <c r="L123" s="169">
        <v>1200</v>
      </c>
      <c r="M123" s="172">
        <f t="shared" si="12"/>
        <v>71.63333333333334</v>
      </c>
      <c r="N123" s="167">
        <v>16897</v>
      </c>
      <c r="O123" s="169">
        <v>5300</v>
      </c>
      <c r="P123" s="172">
        <f>N123/O123</f>
        <v>3.1881132075471696</v>
      </c>
      <c r="Q123" s="55"/>
      <c r="R123" s="55"/>
      <c r="S123" s="55"/>
      <c r="T123" s="55"/>
      <c r="U123" s="55"/>
      <c r="V123" s="55"/>
      <c r="W123" s="55"/>
      <c r="X123" s="55"/>
      <c r="Y123" s="55"/>
      <c r="Z123" s="55"/>
    </row>
    <row r="124" spans="1:26" ht="15.75" customHeight="1">
      <c r="A124" s="182" t="s">
        <v>230</v>
      </c>
      <c r="B124" s="183">
        <v>44782</v>
      </c>
      <c r="C124" s="166">
        <v>7</v>
      </c>
      <c r="D124" s="167">
        <v>142424</v>
      </c>
      <c r="E124" s="167">
        <v>984767</v>
      </c>
      <c r="F124" s="168">
        <f t="shared" si="6"/>
        <v>140681</v>
      </c>
      <c r="G124" s="168">
        <f t="shared" si="7"/>
        <v>20346.285714285714</v>
      </c>
      <c r="H124" s="167">
        <v>6474638</v>
      </c>
      <c r="I124" s="169">
        <v>8000</v>
      </c>
      <c r="J124" s="170">
        <f t="shared" si="11"/>
        <v>809.32974999999999</v>
      </c>
      <c r="K124" s="167">
        <v>135736</v>
      </c>
      <c r="L124" s="169">
        <v>8000</v>
      </c>
      <c r="M124" s="172">
        <f t="shared" si="12"/>
        <v>16.966999999999999</v>
      </c>
      <c r="N124" s="167">
        <v>3531</v>
      </c>
      <c r="O124" s="169">
        <v>0</v>
      </c>
      <c r="P124" s="172"/>
      <c r="Q124" s="55"/>
      <c r="R124" s="55"/>
      <c r="S124" s="55"/>
      <c r="T124" s="55"/>
      <c r="U124" s="55"/>
      <c r="V124" s="55"/>
      <c r="W124" s="55"/>
      <c r="X124" s="55"/>
      <c r="Y124" s="55"/>
      <c r="Z124" s="55"/>
    </row>
    <row r="125" spans="1:26" ht="15.75" customHeight="1">
      <c r="A125" s="182" t="s">
        <v>231</v>
      </c>
      <c r="B125" s="183">
        <v>44767</v>
      </c>
      <c r="C125" s="166">
        <v>6</v>
      </c>
      <c r="D125" s="167">
        <v>742396</v>
      </c>
      <c r="E125" s="167">
        <v>422882</v>
      </c>
      <c r="F125" s="168">
        <f t="shared" si="6"/>
        <v>70480.333333333328</v>
      </c>
      <c r="G125" s="168">
        <f t="shared" si="7"/>
        <v>123732.66666666667</v>
      </c>
      <c r="H125" s="167">
        <v>5681399</v>
      </c>
      <c r="I125" s="169">
        <v>5400</v>
      </c>
      <c r="J125" s="170">
        <f t="shared" si="11"/>
        <v>1052.1109259259258</v>
      </c>
      <c r="K125" s="167">
        <v>692243</v>
      </c>
      <c r="L125" s="169">
        <v>5400</v>
      </c>
      <c r="M125" s="172">
        <f t="shared" si="12"/>
        <v>128.19314814814814</v>
      </c>
      <c r="N125" s="188">
        <v>37784</v>
      </c>
      <c r="O125" s="169">
        <v>5400</v>
      </c>
      <c r="P125" s="172">
        <f t="shared" ref="P125" si="15">N125/O125</f>
        <v>6.9970370370370372</v>
      </c>
      <c r="Q125" s="55"/>
      <c r="R125" s="55"/>
      <c r="S125" s="55"/>
      <c r="T125" s="55"/>
      <c r="U125" s="55"/>
      <c r="V125" s="55"/>
      <c r="W125" s="55"/>
      <c r="X125" s="55"/>
      <c r="Y125" s="55"/>
      <c r="Z125" s="55"/>
    </row>
    <row r="126" spans="1:26" ht="15.75" customHeight="1">
      <c r="A126" s="182" t="s">
        <v>232</v>
      </c>
      <c r="B126" s="183">
        <v>44842</v>
      </c>
      <c r="C126" s="166">
        <v>4</v>
      </c>
      <c r="D126" s="167">
        <v>54893</v>
      </c>
      <c r="E126" s="167">
        <v>508549</v>
      </c>
      <c r="F126" s="168">
        <f t="shared" si="6"/>
        <v>127137.25</v>
      </c>
      <c r="G126" s="168">
        <f t="shared" si="7"/>
        <v>13723.25</v>
      </c>
      <c r="H126" s="167">
        <v>4948472</v>
      </c>
      <c r="I126" s="169">
        <v>6000</v>
      </c>
      <c r="J126" s="170">
        <f t="shared" si="11"/>
        <v>824.74533333333329</v>
      </c>
      <c r="K126" s="167">
        <v>35237</v>
      </c>
      <c r="L126" s="169">
        <v>2000</v>
      </c>
      <c r="M126" s="172">
        <f t="shared" si="12"/>
        <v>17.618500000000001</v>
      </c>
      <c r="N126" s="167">
        <v>11310</v>
      </c>
      <c r="O126" s="169">
        <v>2800</v>
      </c>
      <c r="P126" s="172">
        <f t="shared" ref="P126:P180" si="16">N126/O126</f>
        <v>4.0392857142857146</v>
      </c>
      <c r="Q126" s="55"/>
      <c r="R126" s="55"/>
      <c r="S126" s="55"/>
      <c r="T126" s="55"/>
      <c r="U126" s="55"/>
      <c r="V126" s="55"/>
      <c r="W126" s="55"/>
      <c r="X126" s="55"/>
      <c r="Y126" s="55"/>
      <c r="Z126" s="55"/>
    </row>
    <row r="127" spans="1:26" ht="15.75" customHeight="1">
      <c r="A127" s="182" t="s">
        <v>233</v>
      </c>
      <c r="B127" s="183">
        <v>44858</v>
      </c>
      <c r="C127" s="166">
        <v>15</v>
      </c>
      <c r="D127" s="167">
        <v>35320</v>
      </c>
      <c r="E127" s="167">
        <v>1003230</v>
      </c>
      <c r="F127" s="168">
        <f t="shared" si="6"/>
        <v>66882</v>
      </c>
      <c r="G127" s="168">
        <f t="shared" si="7"/>
        <v>2354.6666666666665</v>
      </c>
      <c r="H127" s="167">
        <v>618984</v>
      </c>
      <c r="I127" s="169">
        <v>750</v>
      </c>
      <c r="J127" s="170">
        <f t="shared" si="11"/>
        <v>825.31200000000001</v>
      </c>
      <c r="K127" s="167">
        <v>22183</v>
      </c>
      <c r="L127" s="169">
        <v>750</v>
      </c>
      <c r="M127" s="172">
        <f t="shared" si="12"/>
        <v>29.577333333333332</v>
      </c>
      <c r="N127" s="167">
        <v>274</v>
      </c>
      <c r="O127" s="169">
        <v>0</v>
      </c>
      <c r="P127" s="172"/>
      <c r="Q127" s="55"/>
      <c r="R127" s="55"/>
      <c r="S127" s="55"/>
      <c r="T127" s="55"/>
      <c r="U127" s="55"/>
      <c r="V127" s="55"/>
      <c r="W127" s="55"/>
      <c r="X127" s="55"/>
      <c r="Y127" s="55"/>
      <c r="Z127" s="55"/>
    </row>
    <row r="128" spans="1:26" ht="15.75" customHeight="1">
      <c r="A128" s="182" t="s">
        <v>234</v>
      </c>
      <c r="B128" s="183">
        <v>44860</v>
      </c>
      <c r="C128" s="166">
        <v>8</v>
      </c>
      <c r="D128" s="167">
        <v>260058</v>
      </c>
      <c r="E128" s="55">
        <v>1232080</v>
      </c>
      <c r="F128" s="168">
        <f>E128/C128</f>
        <v>154010</v>
      </c>
      <c r="G128" s="168">
        <f t="shared" si="7"/>
        <v>32507.25</v>
      </c>
      <c r="H128" s="167">
        <v>1151285</v>
      </c>
      <c r="I128" s="169">
        <v>1000</v>
      </c>
      <c r="J128" s="170">
        <f t="shared" si="11"/>
        <v>1151.2850000000001</v>
      </c>
      <c r="K128" s="167">
        <v>244771</v>
      </c>
      <c r="L128" s="169">
        <v>500</v>
      </c>
      <c r="M128" s="172">
        <f t="shared" si="12"/>
        <v>489.54199999999997</v>
      </c>
      <c r="N128" s="167">
        <v>6438</v>
      </c>
      <c r="O128" s="169">
        <v>500</v>
      </c>
      <c r="P128" s="172">
        <f t="shared" si="16"/>
        <v>12.875999999999999</v>
      </c>
      <c r="Q128" s="55"/>
      <c r="R128" s="55"/>
      <c r="S128" s="55"/>
      <c r="T128" s="55"/>
      <c r="U128" s="55"/>
      <c r="V128" s="55"/>
      <c r="W128" s="55"/>
      <c r="X128" s="55"/>
      <c r="Y128" s="55"/>
      <c r="Z128" s="55"/>
    </row>
    <row r="129" spans="1:26" ht="15.75" customHeight="1">
      <c r="A129" s="182" t="s">
        <v>235</v>
      </c>
      <c r="B129" s="183">
        <v>44844</v>
      </c>
      <c r="C129" s="166">
        <v>40</v>
      </c>
      <c r="D129" s="167">
        <v>114481</v>
      </c>
      <c r="E129" s="55">
        <v>3445206</v>
      </c>
      <c r="F129" s="168">
        <f t="shared" si="6"/>
        <v>86130.15</v>
      </c>
      <c r="G129" s="168">
        <f t="shared" si="7"/>
        <v>2862.0250000000001</v>
      </c>
      <c r="H129" s="167">
        <v>4495325</v>
      </c>
      <c r="I129" s="169">
        <v>6000</v>
      </c>
      <c r="J129" s="170">
        <f t="shared" si="11"/>
        <v>749.2208333333333</v>
      </c>
      <c r="K129" s="167">
        <v>62135</v>
      </c>
      <c r="L129" s="169">
        <v>2000</v>
      </c>
      <c r="M129" s="172">
        <f t="shared" si="12"/>
        <v>31.067499999999999</v>
      </c>
      <c r="N129" s="167">
        <v>23092</v>
      </c>
      <c r="O129" s="169">
        <v>4000</v>
      </c>
      <c r="P129" s="172">
        <f t="shared" si="16"/>
        <v>5.7729999999999997</v>
      </c>
      <c r="Q129" s="55"/>
      <c r="R129" s="55"/>
      <c r="S129" s="55"/>
      <c r="T129" s="55"/>
      <c r="U129" s="55"/>
      <c r="V129" s="55"/>
      <c r="W129" s="55"/>
      <c r="X129" s="55"/>
      <c r="Y129" s="55"/>
      <c r="Z129" s="55"/>
    </row>
    <row r="130" spans="1:26" ht="15.75" customHeight="1">
      <c r="A130" s="182" t="s">
        <v>236</v>
      </c>
      <c r="B130" s="183">
        <v>44860</v>
      </c>
      <c r="C130" s="166">
        <v>9</v>
      </c>
      <c r="D130" s="167">
        <v>110926</v>
      </c>
      <c r="E130" s="167">
        <v>591959</v>
      </c>
      <c r="F130" s="168">
        <f t="shared" si="6"/>
        <v>65773.222222222219</v>
      </c>
      <c r="G130" s="168">
        <f t="shared" si="7"/>
        <v>12325.111111111111</v>
      </c>
      <c r="H130" s="167">
        <v>1568447</v>
      </c>
      <c r="I130" s="169">
        <v>1750</v>
      </c>
      <c r="J130" s="170">
        <f t="shared" si="11"/>
        <v>896.25542857142852</v>
      </c>
      <c r="K130" s="167">
        <v>103838</v>
      </c>
      <c r="L130" s="169">
        <v>750</v>
      </c>
      <c r="M130" s="172">
        <f t="shared" si="12"/>
        <v>138.45066666666668</v>
      </c>
      <c r="N130" s="167">
        <v>4822</v>
      </c>
      <c r="O130" s="169">
        <v>625</v>
      </c>
      <c r="P130" s="172">
        <f t="shared" si="16"/>
        <v>7.7152000000000003</v>
      </c>
      <c r="Q130" s="55"/>
      <c r="R130" s="55"/>
      <c r="S130" s="55"/>
      <c r="T130" s="55"/>
      <c r="U130" s="55"/>
      <c r="V130" s="55"/>
      <c r="W130" s="55"/>
      <c r="X130" s="55"/>
      <c r="Y130" s="55"/>
      <c r="Z130" s="55"/>
    </row>
    <row r="131" spans="1:26" ht="15.75" customHeight="1">
      <c r="A131" s="182" t="s">
        <v>237</v>
      </c>
      <c r="B131" s="183">
        <v>44887</v>
      </c>
      <c r="C131" s="166">
        <v>6</v>
      </c>
      <c r="D131" s="167">
        <v>21718</v>
      </c>
      <c r="E131" s="167">
        <v>497052</v>
      </c>
      <c r="F131" s="168">
        <f t="shared" si="6"/>
        <v>82842</v>
      </c>
      <c r="G131" s="168">
        <f t="shared" si="7"/>
        <v>3619.6666666666665</v>
      </c>
      <c r="H131" s="167">
        <v>1252658</v>
      </c>
      <c r="I131" s="169">
        <v>1750</v>
      </c>
      <c r="J131" s="170">
        <f t="shared" si="11"/>
        <v>715.80457142857142</v>
      </c>
      <c r="K131" s="167">
        <v>11405</v>
      </c>
      <c r="L131" s="169">
        <v>750</v>
      </c>
      <c r="M131" s="172">
        <f t="shared" si="12"/>
        <v>15.206666666666667</v>
      </c>
      <c r="N131" s="167">
        <v>7083</v>
      </c>
      <c r="O131" s="169">
        <v>625</v>
      </c>
      <c r="P131" s="172">
        <f t="shared" si="16"/>
        <v>11.332800000000001</v>
      </c>
      <c r="Q131" s="55"/>
      <c r="R131" s="55"/>
      <c r="S131" s="55"/>
      <c r="T131" s="55"/>
      <c r="U131" s="55"/>
      <c r="V131" s="55"/>
      <c r="W131" s="55"/>
      <c r="X131" s="55"/>
      <c r="Y131" s="55"/>
      <c r="Z131" s="55"/>
    </row>
    <row r="132" spans="1:26" ht="15.75" customHeight="1">
      <c r="A132" s="182" t="s">
        <v>238</v>
      </c>
      <c r="B132" s="183">
        <v>44869</v>
      </c>
      <c r="C132" s="166">
        <v>17</v>
      </c>
      <c r="D132" s="167">
        <v>474533</v>
      </c>
      <c r="E132" s="167">
        <v>1262993</v>
      </c>
      <c r="F132" s="168">
        <f t="shared" si="6"/>
        <v>74293.705882352937</v>
      </c>
      <c r="G132" s="168">
        <f t="shared" si="7"/>
        <v>27913.705882352941</v>
      </c>
      <c r="H132" s="167">
        <v>4223114</v>
      </c>
      <c r="I132" s="169">
        <v>5000</v>
      </c>
      <c r="J132" s="170">
        <f t="shared" si="11"/>
        <v>844.62279999999998</v>
      </c>
      <c r="K132" s="167">
        <v>446471</v>
      </c>
      <c r="L132" s="169">
        <v>1500</v>
      </c>
      <c r="M132" s="172">
        <f t="shared" si="12"/>
        <v>297.64733333333334</v>
      </c>
      <c r="N132" s="167">
        <v>20949</v>
      </c>
      <c r="O132" s="169">
        <v>1500</v>
      </c>
      <c r="P132" s="172">
        <f t="shared" si="16"/>
        <v>13.965999999999999</v>
      </c>
      <c r="Q132" s="55"/>
      <c r="R132" s="55"/>
      <c r="S132" s="55"/>
      <c r="T132" s="55"/>
      <c r="U132" s="55"/>
      <c r="V132" s="55"/>
      <c r="W132" s="55"/>
      <c r="X132" s="55"/>
      <c r="Y132" s="55"/>
      <c r="Z132" s="55"/>
    </row>
    <row r="133" spans="1:26" ht="15.75" customHeight="1">
      <c r="A133" s="182" t="s">
        <v>239</v>
      </c>
      <c r="B133" s="183">
        <v>44851</v>
      </c>
      <c r="C133" s="166">
        <v>5</v>
      </c>
      <c r="D133" s="167">
        <v>202025</v>
      </c>
      <c r="E133" s="167">
        <v>1103726</v>
      </c>
      <c r="F133" s="168">
        <f t="shared" si="6"/>
        <v>220745.2</v>
      </c>
      <c r="G133" s="168">
        <f t="shared" si="7"/>
        <v>40405</v>
      </c>
      <c r="H133" s="167">
        <v>1632524</v>
      </c>
      <c r="I133" s="169">
        <v>2000</v>
      </c>
      <c r="J133" s="170">
        <f t="shared" si="11"/>
        <v>816.26199999999994</v>
      </c>
      <c r="K133" s="167">
        <v>196082</v>
      </c>
      <c r="L133" s="169">
        <v>1000</v>
      </c>
      <c r="M133" s="172">
        <f t="shared" si="12"/>
        <v>196.08199999999999</v>
      </c>
      <c r="N133" s="167">
        <v>272</v>
      </c>
      <c r="O133" s="169">
        <v>0</v>
      </c>
      <c r="P133" s="172"/>
      <c r="Q133" s="55"/>
      <c r="R133" s="55"/>
      <c r="S133" s="55"/>
      <c r="T133" s="55"/>
      <c r="U133" s="55"/>
      <c r="V133" s="55"/>
      <c r="W133" s="55"/>
      <c r="X133" s="55"/>
      <c r="Y133" s="55"/>
      <c r="Z133" s="55"/>
    </row>
    <row r="134" spans="1:26" s="198" customFormat="1" ht="15.75" customHeight="1">
      <c r="A134" s="189" t="s">
        <v>240</v>
      </c>
      <c r="B134" s="190">
        <v>44835</v>
      </c>
      <c r="C134" s="191">
        <v>45</v>
      </c>
      <c r="D134" s="192">
        <v>1441210</v>
      </c>
      <c r="E134" s="192">
        <v>7832001</v>
      </c>
      <c r="F134" s="193">
        <f t="shared" si="6"/>
        <v>174044.46666666667</v>
      </c>
      <c r="G134" s="193">
        <f t="shared" si="7"/>
        <v>32026.888888888891</v>
      </c>
      <c r="H134" s="192">
        <v>9802697</v>
      </c>
      <c r="I134" s="194">
        <v>10650</v>
      </c>
      <c r="J134" s="195">
        <f t="shared" si="11"/>
        <v>920.44103286384973</v>
      </c>
      <c r="K134" s="192">
        <v>1382908</v>
      </c>
      <c r="L134" s="194">
        <v>10650</v>
      </c>
      <c r="M134" s="196">
        <f t="shared" si="12"/>
        <v>129.85051643192489</v>
      </c>
      <c r="N134" s="192">
        <v>48051</v>
      </c>
      <c r="O134" s="194">
        <v>10650</v>
      </c>
      <c r="P134" s="196">
        <f t="shared" si="16"/>
        <v>4.511830985915493</v>
      </c>
      <c r="Q134" s="197"/>
      <c r="R134" s="197"/>
      <c r="S134" s="197"/>
      <c r="T134" s="197"/>
      <c r="U134" s="197"/>
      <c r="V134" s="197"/>
      <c r="W134" s="197"/>
      <c r="X134" s="197"/>
      <c r="Y134" s="197"/>
      <c r="Z134" s="197"/>
    </row>
    <row r="135" spans="1:26" ht="15.75" customHeight="1">
      <c r="A135" s="182" t="s">
        <v>241</v>
      </c>
      <c r="B135" s="183">
        <v>44844</v>
      </c>
      <c r="C135" s="166">
        <v>10</v>
      </c>
      <c r="D135" s="167">
        <v>14297</v>
      </c>
      <c r="E135" s="167">
        <v>952247</v>
      </c>
      <c r="F135" s="168">
        <f t="shared" si="6"/>
        <v>95224.7</v>
      </c>
      <c r="G135" s="168">
        <f t="shared" si="7"/>
        <v>1429.7</v>
      </c>
      <c r="H135" s="167">
        <v>391144</v>
      </c>
      <c r="I135" s="169">
        <v>500</v>
      </c>
      <c r="J135" s="170">
        <f t="shared" si="11"/>
        <v>782.28800000000001</v>
      </c>
      <c r="K135" s="167">
        <v>7728</v>
      </c>
      <c r="L135" s="169">
        <v>300</v>
      </c>
      <c r="M135" s="172">
        <f t="shared" si="12"/>
        <v>25.76</v>
      </c>
      <c r="N135" s="167">
        <v>173</v>
      </c>
      <c r="O135" s="169">
        <v>0</v>
      </c>
      <c r="P135" s="172"/>
      <c r="Q135" s="55"/>
      <c r="R135" s="55"/>
      <c r="S135" s="55"/>
      <c r="T135" s="55"/>
      <c r="U135" s="55"/>
      <c r="V135" s="55"/>
      <c r="W135" s="55"/>
      <c r="X135" s="55"/>
      <c r="Y135" s="55"/>
      <c r="Z135" s="55"/>
    </row>
    <row r="136" spans="1:26" ht="15.75" customHeight="1">
      <c r="A136" s="182" t="s">
        <v>242</v>
      </c>
      <c r="B136" s="183">
        <v>44840</v>
      </c>
      <c r="C136" s="166">
        <v>8</v>
      </c>
      <c r="D136" s="167">
        <v>240652</v>
      </c>
      <c r="E136" s="167">
        <v>13388919</v>
      </c>
      <c r="F136" s="168">
        <f t="shared" si="6"/>
        <v>1673614.875</v>
      </c>
      <c r="G136" s="168">
        <f t="shared" si="7"/>
        <v>30081.5</v>
      </c>
      <c r="H136" s="167">
        <v>1356380</v>
      </c>
      <c r="I136" s="169">
        <v>1750</v>
      </c>
      <c r="J136" s="170">
        <f t="shared" si="11"/>
        <v>775.07428571428568</v>
      </c>
      <c r="K136" s="167">
        <v>62643</v>
      </c>
      <c r="L136" s="169">
        <v>1750</v>
      </c>
      <c r="M136" s="172">
        <f t="shared" si="12"/>
        <v>35.795999999999999</v>
      </c>
      <c r="N136" s="167">
        <v>513</v>
      </c>
      <c r="O136" s="169">
        <v>0</v>
      </c>
      <c r="P136" s="172"/>
      <c r="Q136" s="55"/>
      <c r="R136" s="55"/>
      <c r="S136" s="55"/>
      <c r="T136" s="55"/>
      <c r="U136" s="55"/>
      <c r="V136" s="55"/>
      <c r="W136" s="55"/>
      <c r="X136" s="55"/>
      <c r="Y136" s="55"/>
      <c r="Z136" s="55"/>
    </row>
    <row r="137" spans="1:26" ht="15.75" customHeight="1">
      <c r="A137" s="182" t="s">
        <v>243</v>
      </c>
      <c r="B137" s="183">
        <v>44805</v>
      </c>
      <c r="C137" s="166">
        <v>47</v>
      </c>
      <c r="D137" s="167">
        <v>353523</v>
      </c>
      <c r="E137" s="167">
        <v>4963947</v>
      </c>
      <c r="F137" s="168">
        <f t="shared" si="6"/>
        <v>105615.89361702128</v>
      </c>
      <c r="G137" s="168">
        <f t="shared" si="7"/>
        <v>7521.7659574468089</v>
      </c>
      <c r="H137" s="167">
        <v>4688194</v>
      </c>
      <c r="I137" s="169">
        <v>5000</v>
      </c>
      <c r="J137" s="170">
        <f t="shared" si="11"/>
        <v>937.63879999999995</v>
      </c>
      <c r="K137" s="167">
        <v>219408</v>
      </c>
      <c r="L137" s="169">
        <v>2000</v>
      </c>
      <c r="M137" s="172">
        <f t="shared" si="12"/>
        <v>109.70399999999999</v>
      </c>
      <c r="N137" s="167">
        <v>37405</v>
      </c>
      <c r="O137" s="169">
        <v>8000</v>
      </c>
      <c r="P137" s="172">
        <f t="shared" si="16"/>
        <v>4.6756250000000001</v>
      </c>
      <c r="Q137" s="55"/>
      <c r="R137" s="55"/>
      <c r="S137" s="55"/>
      <c r="T137" s="55"/>
      <c r="U137" s="55"/>
      <c r="V137" s="55"/>
      <c r="W137" s="55"/>
      <c r="X137" s="55"/>
      <c r="Y137" s="55"/>
      <c r="Z137" s="55"/>
    </row>
    <row r="138" spans="1:26" ht="15.75" customHeight="1">
      <c r="A138" s="182" t="s">
        <v>244</v>
      </c>
      <c r="B138" s="183">
        <v>44851</v>
      </c>
      <c r="C138" s="166">
        <v>29</v>
      </c>
      <c r="D138" s="167">
        <v>74113</v>
      </c>
      <c r="E138" s="167">
        <v>4836935</v>
      </c>
      <c r="F138" s="168">
        <f t="shared" ref="F138:F190" si="17">E138/C138</f>
        <v>166790.86206896551</v>
      </c>
      <c r="G138" s="168">
        <f t="shared" si="7"/>
        <v>2555.6206896551726</v>
      </c>
      <c r="H138" s="167">
        <v>3908492</v>
      </c>
      <c r="I138" s="169">
        <v>5000</v>
      </c>
      <c r="J138" s="170">
        <f t="shared" si="11"/>
        <v>781.69839999999999</v>
      </c>
      <c r="K138" s="167">
        <v>42166</v>
      </c>
      <c r="L138" s="169">
        <v>1800</v>
      </c>
      <c r="M138" s="172">
        <f t="shared" si="12"/>
        <v>23.425555555555555</v>
      </c>
      <c r="N138" s="167">
        <v>2054</v>
      </c>
      <c r="O138" s="169">
        <v>0</v>
      </c>
      <c r="P138" s="172"/>
      <c r="Q138" s="55"/>
      <c r="R138" s="55"/>
      <c r="S138" s="55"/>
      <c r="T138" s="55"/>
      <c r="U138" s="55"/>
      <c r="V138" s="55"/>
      <c r="W138" s="55"/>
      <c r="X138" s="55"/>
      <c r="Y138" s="55"/>
      <c r="Z138" s="55"/>
    </row>
    <row r="139" spans="1:26" ht="15.75" customHeight="1">
      <c r="A139" s="182" t="s">
        <v>245</v>
      </c>
      <c r="B139" s="183">
        <v>44883</v>
      </c>
      <c r="C139" s="166">
        <v>5</v>
      </c>
      <c r="D139" s="167">
        <v>222092</v>
      </c>
      <c r="E139" s="167">
        <v>773490</v>
      </c>
      <c r="F139" s="168">
        <f t="shared" si="17"/>
        <v>154698</v>
      </c>
      <c r="G139" s="168">
        <f>D139/C139</f>
        <v>44418.400000000001</v>
      </c>
      <c r="H139" s="167">
        <v>905808</v>
      </c>
      <c r="I139" s="169">
        <v>1000</v>
      </c>
      <c r="J139" s="170">
        <f t="shared" si="11"/>
        <v>905.80799999999999</v>
      </c>
      <c r="K139" s="167">
        <v>216166</v>
      </c>
      <c r="L139" s="169">
        <v>1000</v>
      </c>
      <c r="M139" s="172">
        <f t="shared" si="12"/>
        <v>216.166</v>
      </c>
      <c r="N139" s="167">
        <v>1830</v>
      </c>
      <c r="O139" s="169">
        <v>0</v>
      </c>
      <c r="P139" s="172"/>
      <c r="Q139" s="55"/>
      <c r="R139" s="55"/>
      <c r="S139" s="55"/>
      <c r="T139" s="55"/>
      <c r="U139" s="55"/>
      <c r="V139" s="55"/>
      <c r="W139" s="55"/>
      <c r="X139" s="55"/>
      <c r="Y139" s="55"/>
      <c r="Z139" s="55"/>
    </row>
    <row r="140" spans="1:26" ht="15.75" customHeight="1">
      <c r="A140" s="182" t="s">
        <v>246</v>
      </c>
      <c r="B140" s="183">
        <v>44890</v>
      </c>
      <c r="C140" s="166">
        <v>10</v>
      </c>
      <c r="D140" s="167">
        <v>214765</v>
      </c>
      <c r="E140" s="167">
        <v>572540</v>
      </c>
      <c r="F140" s="168">
        <f t="shared" si="17"/>
        <v>57254</v>
      </c>
      <c r="G140" s="168">
        <f t="shared" si="7"/>
        <v>21476.5</v>
      </c>
      <c r="H140" s="167">
        <v>1283128</v>
      </c>
      <c r="I140" s="169">
        <v>1025</v>
      </c>
      <c r="J140" s="170">
        <f t="shared" si="11"/>
        <v>1251.8321951219511</v>
      </c>
      <c r="K140" s="167">
        <v>206839</v>
      </c>
      <c r="L140" s="169">
        <v>975.54</v>
      </c>
      <c r="M140" s="172">
        <f t="shared" si="12"/>
        <v>212.02513479713801</v>
      </c>
      <c r="N140" s="167">
        <v>1728</v>
      </c>
      <c r="O140" s="169">
        <v>0</v>
      </c>
      <c r="P140" s="172"/>
      <c r="Q140" s="55"/>
      <c r="R140" s="55"/>
      <c r="S140" s="55"/>
      <c r="T140" s="55"/>
      <c r="U140" s="55"/>
      <c r="V140" s="55"/>
      <c r="W140" s="55"/>
      <c r="X140" s="55"/>
      <c r="Y140" s="55"/>
      <c r="Z140" s="55"/>
    </row>
    <row r="141" spans="1:26" ht="15.75" customHeight="1">
      <c r="A141" s="182" t="s">
        <v>247</v>
      </c>
      <c r="B141" s="183">
        <v>44886</v>
      </c>
      <c r="C141" s="166">
        <v>14</v>
      </c>
      <c r="D141" s="167">
        <v>84963</v>
      </c>
      <c r="E141" s="167">
        <v>1084486</v>
      </c>
      <c r="F141" s="168">
        <f t="shared" si="17"/>
        <v>77463.28571428571</v>
      </c>
      <c r="G141" s="168">
        <f t="shared" si="7"/>
        <v>6068.7857142857147</v>
      </c>
      <c r="H141" s="167">
        <v>2161797</v>
      </c>
      <c r="I141" s="169">
        <v>3384</v>
      </c>
      <c r="J141" s="170">
        <f t="shared" si="11"/>
        <v>638.82890070921985</v>
      </c>
      <c r="K141" s="167">
        <v>74881</v>
      </c>
      <c r="L141" s="169">
        <v>1116.54</v>
      </c>
      <c r="M141" s="172">
        <f t="shared" si="12"/>
        <v>67.065219338313</v>
      </c>
      <c r="N141" s="167">
        <v>5225</v>
      </c>
      <c r="O141" s="169">
        <v>1000</v>
      </c>
      <c r="P141" s="172">
        <f t="shared" si="16"/>
        <v>5.2249999999999996</v>
      </c>
      <c r="Q141" s="55"/>
      <c r="R141" s="55"/>
      <c r="S141" s="55"/>
      <c r="T141" s="55"/>
      <c r="U141" s="55"/>
      <c r="V141" s="55"/>
      <c r="W141" s="55"/>
      <c r="X141" s="55"/>
      <c r="Y141" s="55"/>
      <c r="Z141" s="55"/>
    </row>
    <row r="142" spans="1:26" ht="15.75" customHeight="1">
      <c r="A142" s="182" t="s">
        <v>248</v>
      </c>
      <c r="B142" s="183">
        <v>44840</v>
      </c>
      <c r="C142" s="166">
        <v>14</v>
      </c>
      <c r="D142" s="167">
        <v>33656</v>
      </c>
      <c r="E142" s="167">
        <v>1570015</v>
      </c>
      <c r="F142" s="168">
        <f t="shared" si="17"/>
        <v>112143.92857142857</v>
      </c>
      <c r="G142" s="168">
        <f t="shared" si="7"/>
        <v>2404</v>
      </c>
      <c r="H142" s="167">
        <v>430167</v>
      </c>
      <c r="I142" s="169">
        <v>750</v>
      </c>
      <c r="J142" s="170">
        <f t="shared" si="11"/>
        <v>573.55600000000004</v>
      </c>
      <c r="K142" s="167">
        <v>12515</v>
      </c>
      <c r="L142" s="169">
        <v>0</v>
      </c>
      <c r="M142" s="172"/>
      <c r="N142" s="167">
        <v>4062</v>
      </c>
      <c r="O142" s="169">
        <v>750</v>
      </c>
      <c r="P142" s="172">
        <f t="shared" si="16"/>
        <v>5.4160000000000004</v>
      </c>
      <c r="Q142" s="55"/>
      <c r="R142" s="55"/>
      <c r="S142" s="55"/>
      <c r="T142" s="55"/>
      <c r="U142" s="55"/>
      <c r="V142" s="55"/>
      <c r="W142" s="55"/>
      <c r="X142" s="55"/>
      <c r="Y142" s="55"/>
      <c r="Z142" s="55"/>
    </row>
    <row r="143" spans="1:26" ht="15.75" customHeight="1">
      <c r="A143" s="182" t="s">
        <v>249</v>
      </c>
      <c r="B143" s="183">
        <v>45231</v>
      </c>
      <c r="C143" s="166">
        <v>40</v>
      </c>
      <c r="D143" s="167">
        <v>357636</v>
      </c>
      <c r="E143" s="167">
        <v>2590985</v>
      </c>
      <c r="F143" s="168">
        <f t="shared" si="17"/>
        <v>64774.625</v>
      </c>
      <c r="G143" s="168">
        <f t="shared" si="7"/>
        <v>8940.9</v>
      </c>
      <c r="H143" s="167">
        <v>4775698</v>
      </c>
      <c r="I143" s="169">
        <v>4000</v>
      </c>
      <c r="J143" s="170">
        <f t="shared" si="11"/>
        <v>1193.9245000000001</v>
      </c>
      <c r="K143" s="167">
        <v>336833</v>
      </c>
      <c r="L143" s="169">
        <v>4000</v>
      </c>
      <c r="M143" s="172">
        <f t="shared" si="12"/>
        <v>84.208250000000007</v>
      </c>
      <c r="N143" s="167">
        <v>2047</v>
      </c>
      <c r="O143" s="169">
        <v>0</v>
      </c>
      <c r="P143" s="172"/>
      <c r="Q143" s="55"/>
      <c r="R143" s="55"/>
      <c r="S143" s="55"/>
      <c r="T143" s="55"/>
      <c r="U143" s="55"/>
      <c r="V143" s="55"/>
      <c r="W143" s="55"/>
      <c r="X143" s="55"/>
      <c r="Y143" s="55"/>
      <c r="Z143" s="55"/>
    </row>
    <row r="144" spans="1:26" ht="15.75" customHeight="1">
      <c r="A144" s="182" t="s">
        <v>250</v>
      </c>
      <c r="B144" s="183">
        <v>44866</v>
      </c>
      <c r="C144" s="166">
        <v>56</v>
      </c>
      <c r="D144" s="167">
        <v>594349</v>
      </c>
      <c r="E144" s="167">
        <v>4260865</v>
      </c>
      <c r="F144" s="168">
        <f t="shared" si="17"/>
        <v>76086.875</v>
      </c>
      <c r="G144" s="168">
        <f t="shared" ref="G144:G293" si="18">D144/C144</f>
        <v>10613.375</v>
      </c>
      <c r="H144" s="167">
        <v>4585434</v>
      </c>
      <c r="I144" s="169">
        <v>4000</v>
      </c>
      <c r="J144" s="170">
        <f t="shared" si="11"/>
        <v>1146.3585</v>
      </c>
      <c r="K144" s="167">
        <v>556153</v>
      </c>
      <c r="L144" s="169">
        <v>2500</v>
      </c>
      <c r="M144" s="172">
        <f t="shared" si="12"/>
        <v>222.46119999999999</v>
      </c>
      <c r="N144" s="167">
        <v>1362</v>
      </c>
      <c r="O144" s="169">
        <v>0</v>
      </c>
      <c r="P144" s="172"/>
      <c r="Q144" s="55"/>
      <c r="R144" s="55"/>
      <c r="S144" s="55"/>
      <c r="T144" s="55"/>
      <c r="U144" s="55"/>
      <c r="V144" s="55"/>
      <c r="W144" s="55"/>
      <c r="X144" s="55"/>
      <c r="Y144" s="55"/>
      <c r="Z144" s="55"/>
    </row>
    <row r="145" spans="1:26" ht="15.75" customHeight="1">
      <c r="A145" s="182" t="s">
        <v>251</v>
      </c>
      <c r="B145" s="183">
        <v>44870</v>
      </c>
      <c r="C145" s="166">
        <v>21</v>
      </c>
      <c r="D145" s="167">
        <v>308769</v>
      </c>
      <c r="E145" s="167">
        <v>1528803</v>
      </c>
      <c r="F145" s="168">
        <f t="shared" si="17"/>
        <v>72800.142857142855</v>
      </c>
      <c r="G145" s="168">
        <f t="shared" si="18"/>
        <v>14703.285714285714</v>
      </c>
      <c r="H145" s="167">
        <v>976630</v>
      </c>
      <c r="I145" s="169">
        <v>1000</v>
      </c>
      <c r="J145" s="170">
        <f t="shared" si="11"/>
        <v>976.63</v>
      </c>
      <c r="K145" s="167">
        <v>293290</v>
      </c>
      <c r="L145" s="169">
        <v>1000</v>
      </c>
      <c r="M145" s="172">
        <f t="shared" si="12"/>
        <v>293.29000000000002</v>
      </c>
      <c r="N145" s="167">
        <v>9229</v>
      </c>
      <c r="O145" s="169">
        <v>1000</v>
      </c>
      <c r="P145" s="172">
        <f t="shared" si="16"/>
        <v>9.2289999999999992</v>
      </c>
      <c r="Q145" s="55"/>
      <c r="R145" s="55"/>
      <c r="S145" s="55"/>
      <c r="T145" s="55"/>
      <c r="U145" s="55"/>
      <c r="V145" s="55"/>
      <c r="W145" s="55"/>
      <c r="X145" s="55"/>
      <c r="Y145" s="55"/>
      <c r="Z145" s="55"/>
    </row>
    <row r="146" spans="1:26" ht="15.75" customHeight="1">
      <c r="A146" s="182" t="s">
        <v>252</v>
      </c>
      <c r="B146" s="183">
        <v>44879</v>
      </c>
      <c r="C146" s="166">
        <v>15</v>
      </c>
      <c r="D146" s="167">
        <v>256319</v>
      </c>
      <c r="E146" s="167">
        <v>1617463</v>
      </c>
      <c r="F146" s="168">
        <f t="shared" si="17"/>
        <v>107830.86666666667</v>
      </c>
      <c r="G146" s="168">
        <f t="shared" si="18"/>
        <v>17087.933333333334</v>
      </c>
      <c r="H146" s="167">
        <v>2651780</v>
      </c>
      <c r="I146" s="169">
        <v>3837</v>
      </c>
      <c r="J146" s="170">
        <f t="shared" si="11"/>
        <v>691.1076361740943</v>
      </c>
      <c r="K146" s="167">
        <v>226959</v>
      </c>
      <c r="L146" s="169">
        <v>500</v>
      </c>
      <c r="M146" s="172">
        <f t="shared" si="12"/>
        <v>453.91800000000001</v>
      </c>
      <c r="N146" s="167">
        <v>19631</v>
      </c>
      <c r="O146" s="169">
        <v>1500</v>
      </c>
      <c r="P146" s="172">
        <f t="shared" si="16"/>
        <v>13.087333333333333</v>
      </c>
      <c r="Q146" s="55"/>
      <c r="R146" s="55"/>
      <c r="S146" s="55"/>
      <c r="T146" s="55"/>
      <c r="U146" s="55"/>
      <c r="V146" s="55"/>
      <c r="W146" s="55"/>
      <c r="X146" s="55"/>
      <c r="Y146" s="55"/>
      <c r="Z146" s="55"/>
    </row>
    <row r="147" spans="1:26" ht="15.75" customHeight="1">
      <c r="A147" s="182" t="s">
        <v>253</v>
      </c>
      <c r="B147" s="183">
        <v>44879</v>
      </c>
      <c r="C147" s="166">
        <v>12</v>
      </c>
      <c r="D147" s="167">
        <v>7123</v>
      </c>
      <c r="E147" s="167">
        <v>1124042</v>
      </c>
      <c r="F147" s="168">
        <f t="shared" si="17"/>
        <v>93670.166666666672</v>
      </c>
      <c r="G147" s="168">
        <f t="shared" si="18"/>
        <v>593.58333333333337</v>
      </c>
      <c r="H147" s="167">
        <v>0</v>
      </c>
      <c r="I147" s="169">
        <v>0</v>
      </c>
      <c r="J147" s="170"/>
      <c r="K147" s="167">
        <v>0</v>
      </c>
      <c r="L147" s="169">
        <v>0</v>
      </c>
      <c r="M147" s="172"/>
      <c r="N147" s="167">
        <v>0</v>
      </c>
      <c r="O147" s="169">
        <v>0</v>
      </c>
      <c r="P147" s="172"/>
      <c r="Q147" s="55"/>
      <c r="R147" s="55"/>
      <c r="S147" s="55"/>
      <c r="T147" s="55"/>
      <c r="U147" s="55"/>
      <c r="V147" s="55"/>
      <c r="W147" s="55"/>
      <c r="X147" s="55"/>
      <c r="Y147" s="55"/>
      <c r="Z147" s="55"/>
    </row>
    <row r="148" spans="1:26" ht="15.75" customHeight="1">
      <c r="A148" s="182" t="s">
        <v>254</v>
      </c>
      <c r="B148" s="183">
        <v>44866</v>
      </c>
      <c r="C148" s="166">
        <v>42</v>
      </c>
      <c r="D148" s="167">
        <v>741767</v>
      </c>
      <c r="E148" s="167">
        <v>7136018</v>
      </c>
      <c r="F148" s="168">
        <f t="shared" si="17"/>
        <v>169905.19047619047</v>
      </c>
      <c r="G148" s="168">
        <f t="shared" si="18"/>
        <v>17661.119047619046</v>
      </c>
      <c r="H148" s="167">
        <v>3367817</v>
      </c>
      <c r="I148" s="169">
        <v>3250</v>
      </c>
      <c r="J148" s="170">
        <f t="shared" si="11"/>
        <v>1036.2513846153847</v>
      </c>
      <c r="K148" s="167">
        <v>696067</v>
      </c>
      <c r="L148" s="169">
        <v>3250</v>
      </c>
      <c r="M148" s="172">
        <f t="shared" si="12"/>
        <v>214.17446153846154</v>
      </c>
      <c r="N148" s="167">
        <v>11938</v>
      </c>
      <c r="O148" s="169">
        <v>1000</v>
      </c>
      <c r="P148" s="172">
        <f t="shared" si="16"/>
        <v>11.938000000000001</v>
      </c>
      <c r="Q148" s="55"/>
      <c r="R148" s="55"/>
      <c r="S148" s="55"/>
      <c r="T148" s="55"/>
      <c r="U148" s="55"/>
      <c r="V148" s="55"/>
      <c r="W148" s="55"/>
      <c r="X148" s="55"/>
      <c r="Y148" s="55"/>
      <c r="Z148" s="55"/>
    </row>
    <row r="149" spans="1:26" ht="15.75" customHeight="1">
      <c r="A149" s="182" t="s">
        <v>255</v>
      </c>
      <c r="B149" s="183">
        <v>44897</v>
      </c>
      <c r="C149" s="166">
        <v>15</v>
      </c>
      <c r="D149" s="167">
        <v>139413</v>
      </c>
      <c r="E149" s="167">
        <v>2625674</v>
      </c>
      <c r="F149" s="168">
        <f t="shared" si="17"/>
        <v>175044.93333333332</v>
      </c>
      <c r="G149" s="168">
        <f t="shared" si="18"/>
        <v>9294.2000000000007</v>
      </c>
      <c r="H149" s="167">
        <v>729812</v>
      </c>
      <c r="I149" s="169">
        <v>750</v>
      </c>
      <c r="J149" s="170">
        <f t="shared" si="11"/>
        <v>973.08266666666668</v>
      </c>
      <c r="K149" s="167">
        <v>127454</v>
      </c>
      <c r="L149" s="169">
        <v>750</v>
      </c>
      <c r="M149" s="172">
        <f t="shared" si="12"/>
        <v>169.93866666666668</v>
      </c>
      <c r="N149" s="167">
        <v>277</v>
      </c>
      <c r="O149" s="169">
        <v>0</v>
      </c>
      <c r="P149" s="172"/>
      <c r="Q149" s="55"/>
      <c r="R149" s="55"/>
      <c r="S149" s="55"/>
      <c r="T149" s="55"/>
      <c r="U149" s="55"/>
      <c r="V149" s="55"/>
      <c r="W149" s="55"/>
      <c r="X149" s="55"/>
      <c r="Y149" s="55"/>
      <c r="Z149" s="55"/>
    </row>
    <row r="150" spans="1:26" ht="15.75" customHeight="1">
      <c r="A150" s="182" t="s">
        <v>256</v>
      </c>
      <c r="B150" s="183">
        <v>44895</v>
      </c>
      <c r="C150" s="166">
        <v>15</v>
      </c>
      <c r="D150" s="167">
        <v>125879</v>
      </c>
      <c r="E150" s="167">
        <v>1280675</v>
      </c>
      <c r="F150" s="168">
        <f t="shared" si="17"/>
        <v>85378.333333333328</v>
      </c>
      <c r="G150" s="168">
        <f t="shared" si="18"/>
        <v>8391.9333333333325</v>
      </c>
      <c r="H150" s="167">
        <v>726993</v>
      </c>
      <c r="I150" s="169">
        <v>750</v>
      </c>
      <c r="J150" s="170">
        <f t="shared" si="11"/>
        <v>969.32399999999996</v>
      </c>
      <c r="K150" s="167">
        <v>110625</v>
      </c>
      <c r="L150" s="169">
        <v>750</v>
      </c>
      <c r="M150" s="172">
        <f t="shared" si="12"/>
        <v>147.5</v>
      </c>
      <c r="N150" s="167">
        <v>335</v>
      </c>
      <c r="O150" s="169">
        <v>0</v>
      </c>
      <c r="P150" s="172"/>
      <c r="Q150" s="55"/>
      <c r="R150" s="55"/>
      <c r="S150" s="55"/>
      <c r="T150" s="55"/>
      <c r="U150" s="55"/>
      <c r="V150" s="55"/>
      <c r="W150" s="55"/>
      <c r="X150" s="55"/>
      <c r="Y150" s="55"/>
      <c r="Z150" s="55"/>
    </row>
    <row r="151" spans="1:26" ht="15.75" customHeight="1">
      <c r="A151" s="182" t="s">
        <v>257</v>
      </c>
      <c r="B151" s="183">
        <v>44900</v>
      </c>
      <c r="C151" s="166">
        <v>12</v>
      </c>
      <c r="D151" s="167">
        <v>17291</v>
      </c>
      <c r="E151" s="167">
        <v>869666</v>
      </c>
      <c r="F151" s="168">
        <f t="shared" si="17"/>
        <v>72472.166666666672</v>
      </c>
      <c r="G151" s="168">
        <f t="shared" si="18"/>
        <v>1440.9166666666667</v>
      </c>
      <c r="H151" s="167">
        <v>465317</v>
      </c>
      <c r="I151" s="169">
        <v>450</v>
      </c>
      <c r="J151" s="170">
        <f t="shared" si="11"/>
        <v>1034.0377777777778</v>
      </c>
      <c r="K151" s="167">
        <v>4786</v>
      </c>
      <c r="L151" s="169">
        <v>350</v>
      </c>
      <c r="M151" s="172">
        <f t="shared" si="12"/>
        <v>13.674285714285714</v>
      </c>
      <c r="N151" s="167">
        <v>2519</v>
      </c>
      <c r="O151" s="169">
        <v>200</v>
      </c>
      <c r="P151" s="172">
        <f t="shared" si="16"/>
        <v>12.595000000000001</v>
      </c>
      <c r="Q151" s="55"/>
      <c r="R151" s="55"/>
      <c r="S151" s="55"/>
      <c r="T151" s="55"/>
      <c r="U151" s="55"/>
      <c r="V151" s="55"/>
      <c r="W151" s="55"/>
      <c r="X151" s="55"/>
      <c r="Y151" s="55"/>
      <c r="Z151" s="55"/>
    </row>
    <row r="152" spans="1:26" ht="15.75" customHeight="1">
      <c r="A152" s="182" t="s">
        <v>258</v>
      </c>
      <c r="B152" s="183">
        <v>44867</v>
      </c>
      <c r="C152" s="166">
        <v>40</v>
      </c>
      <c r="D152" s="167">
        <v>696546</v>
      </c>
      <c r="E152" s="167">
        <v>2765401</v>
      </c>
      <c r="F152" s="168">
        <f t="shared" si="17"/>
        <v>69135.024999999994</v>
      </c>
      <c r="G152" s="168">
        <f t="shared" si="18"/>
        <v>17413.650000000001</v>
      </c>
      <c r="H152" s="167">
        <v>5077348</v>
      </c>
      <c r="I152" s="169">
        <v>6000</v>
      </c>
      <c r="J152" s="170">
        <f t="shared" si="11"/>
        <v>846.22466666666662</v>
      </c>
      <c r="K152" s="167">
        <v>637884</v>
      </c>
      <c r="L152" s="169">
        <v>2000</v>
      </c>
      <c r="M152" s="172">
        <f t="shared" si="12"/>
        <v>318.94200000000001</v>
      </c>
      <c r="N152" s="167">
        <v>41830</v>
      </c>
      <c r="O152" s="169">
        <v>4000</v>
      </c>
      <c r="P152" s="172">
        <f t="shared" si="16"/>
        <v>10.4575</v>
      </c>
      <c r="Q152" s="55"/>
      <c r="R152" s="55"/>
      <c r="S152" s="55"/>
      <c r="T152" s="55"/>
      <c r="U152" s="55"/>
      <c r="V152" s="55"/>
      <c r="W152" s="55"/>
      <c r="X152" s="55"/>
      <c r="Y152" s="55"/>
      <c r="Z152" s="55"/>
    </row>
    <row r="153" spans="1:26" s="198" customFormat="1" ht="15.75" customHeight="1">
      <c r="A153" s="189" t="s">
        <v>259</v>
      </c>
      <c r="B153" s="190">
        <v>44915</v>
      </c>
      <c r="C153" s="191">
        <v>14</v>
      </c>
      <c r="D153" s="192">
        <v>2507746</v>
      </c>
      <c r="E153" s="192">
        <v>4555882</v>
      </c>
      <c r="F153" s="193">
        <f t="shared" si="17"/>
        <v>325420.14285714284</v>
      </c>
      <c r="G153" s="193">
        <f t="shared" si="18"/>
        <v>179124.71428571429</v>
      </c>
      <c r="H153" s="192">
        <v>8747929</v>
      </c>
      <c r="I153" s="194">
        <v>5500</v>
      </c>
      <c r="J153" s="195">
        <f t="shared" si="11"/>
        <v>1590.5325454545455</v>
      </c>
      <c r="K153" s="192">
        <v>2480140</v>
      </c>
      <c r="L153" s="194">
        <v>5500</v>
      </c>
      <c r="M153" s="196">
        <f t="shared" si="12"/>
        <v>450.93454545454546</v>
      </c>
      <c r="N153" s="192">
        <v>57706</v>
      </c>
      <c r="O153" s="194">
        <v>2000</v>
      </c>
      <c r="P153" s="196">
        <f t="shared" si="16"/>
        <v>28.853000000000002</v>
      </c>
      <c r="Q153" s="197"/>
      <c r="R153" s="197"/>
      <c r="S153" s="197"/>
      <c r="T153" s="197"/>
      <c r="U153" s="197"/>
      <c r="V153" s="197"/>
      <c r="W153" s="197"/>
      <c r="X153" s="197"/>
      <c r="Y153" s="197"/>
      <c r="Z153" s="197"/>
    </row>
    <row r="154" spans="1:26" ht="15.75" customHeight="1">
      <c r="A154" s="182" t="s">
        <v>260</v>
      </c>
      <c r="B154" s="183">
        <v>44854</v>
      </c>
      <c r="C154" s="166">
        <v>45</v>
      </c>
      <c r="D154" s="167">
        <v>337720</v>
      </c>
      <c r="E154" s="167">
        <v>3711544</v>
      </c>
      <c r="F154" s="168">
        <f t="shared" si="17"/>
        <v>82478.755555555559</v>
      </c>
      <c r="G154" s="168">
        <f t="shared" si="18"/>
        <v>7504.8888888888887</v>
      </c>
      <c r="H154" s="167">
        <v>5428577</v>
      </c>
      <c r="I154" s="169">
        <v>5836</v>
      </c>
      <c r="J154" s="170">
        <f t="shared" si="11"/>
        <v>930.1879712131597</v>
      </c>
      <c r="K154" s="167">
        <v>309195</v>
      </c>
      <c r="L154" s="169">
        <v>2500</v>
      </c>
      <c r="M154" s="172">
        <f t="shared" si="12"/>
        <v>123.678</v>
      </c>
      <c r="N154" s="167">
        <v>1719</v>
      </c>
      <c r="O154" s="169">
        <v>0</v>
      </c>
      <c r="P154" s="172"/>
      <c r="Q154" s="55"/>
      <c r="R154" s="55"/>
      <c r="S154" s="55"/>
      <c r="T154" s="55"/>
      <c r="U154" s="55"/>
      <c r="V154" s="55"/>
      <c r="W154" s="55"/>
      <c r="X154" s="55"/>
      <c r="Y154" s="55"/>
      <c r="Z154" s="55"/>
    </row>
    <row r="155" spans="1:26" s="198" customFormat="1" ht="15.75" customHeight="1">
      <c r="A155" s="189" t="s">
        <v>261</v>
      </c>
      <c r="B155" s="190">
        <v>44866</v>
      </c>
      <c r="C155" s="191">
        <v>28</v>
      </c>
      <c r="D155" s="192">
        <v>1617787</v>
      </c>
      <c r="E155" s="192">
        <v>5683137</v>
      </c>
      <c r="F155" s="193">
        <f t="shared" si="17"/>
        <v>202969.17857142858</v>
      </c>
      <c r="G155" s="193">
        <f t="shared" si="18"/>
        <v>57778.107142857145</v>
      </c>
      <c r="H155" s="192">
        <v>9734478</v>
      </c>
      <c r="I155" s="194">
        <v>7000</v>
      </c>
      <c r="J155" s="195">
        <f t="shared" si="11"/>
        <v>1390.6397142857143</v>
      </c>
      <c r="K155" s="192">
        <v>1580401</v>
      </c>
      <c r="L155" s="194">
        <v>6000</v>
      </c>
      <c r="M155" s="196">
        <f t="shared" si="12"/>
        <v>263.40016666666668</v>
      </c>
      <c r="N155" s="192">
        <v>106180</v>
      </c>
      <c r="O155" s="194">
        <v>9000</v>
      </c>
      <c r="P155" s="196">
        <f t="shared" si="16"/>
        <v>11.797777777777778</v>
      </c>
      <c r="Q155" s="197"/>
      <c r="R155" s="197"/>
      <c r="S155" s="197"/>
      <c r="T155" s="197"/>
      <c r="U155" s="197"/>
      <c r="V155" s="197"/>
      <c r="W155" s="197"/>
      <c r="X155" s="197"/>
      <c r="Y155" s="197"/>
      <c r="Z155" s="197"/>
    </row>
    <row r="156" spans="1:26" ht="15.75" customHeight="1">
      <c r="A156" s="182" t="s">
        <v>262</v>
      </c>
      <c r="B156" s="183">
        <v>44930</v>
      </c>
      <c r="C156" s="166">
        <v>20</v>
      </c>
      <c r="D156" s="167">
        <v>322656</v>
      </c>
      <c r="E156" s="167">
        <v>1381441</v>
      </c>
      <c r="F156" s="168">
        <f t="shared" si="17"/>
        <v>69072.05</v>
      </c>
      <c r="G156" s="168">
        <f t="shared" si="18"/>
        <v>16132.8</v>
      </c>
      <c r="H156" s="167">
        <v>4199590</v>
      </c>
      <c r="I156" s="169">
        <v>3884</v>
      </c>
      <c r="J156" s="170">
        <f t="shared" si="11"/>
        <v>1081.2538619979402</v>
      </c>
      <c r="K156" s="167">
        <v>293113</v>
      </c>
      <c r="L156" s="169">
        <v>1116</v>
      </c>
      <c r="M156" s="172">
        <f t="shared" si="12"/>
        <v>262.64605734767025</v>
      </c>
      <c r="N156" s="167">
        <v>19176</v>
      </c>
      <c r="O156" s="169">
        <v>1500</v>
      </c>
      <c r="P156" s="172">
        <f t="shared" si="16"/>
        <v>12.784000000000001</v>
      </c>
      <c r="Q156" s="55"/>
      <c r="R156" s="55"/>
      <c r="S156" s="55"/>
      <c r="T156" s="55"/>
      <c r="U156" s="55"/>
      <c r="V156" s="55"/>
      <c r="W156" s="55"/>
      <c r="X156" s="55"/>
      <c r="Y156" s="55"/>
      <c r="Z156" s="55"/>
    </row>
    <row r="157" spans="1:26" ht="15.75" customHeight="1">
      <c r="A157" s="182" t="s">
        <v>263</v>
      </c>
      <c r="B157" s="183">
        <v>44938</v>
      </c>
      <c r="C157" s="166">
        <v>28</v>
      </c>
      <c r="D157" s="167">
        <v>269637</v>
      </c>
      <c r="E157" s="167">
        <v>2317051</v>
      </c>
      <c r="F157" s="168">
        <f t="shared" si="17"/>
        <v>82751.821428571435</v>
      </c>
      <c r="G157" s="168">
        <f t="shared" si="18"/>
        <v>9629.8928571428569</v>
      </c>
      <c r="H157" s="167">
        <v>3132937</v>
      </c>
      <c r="I157" s="169">
        <v>2000</v>
      </c>
      <c r="J157" s="170">
        <f t="shared" si="11"/>
        <v>1566.4684999999999</v>
      </c>
      <c r="K157" s="167">
        <v>229337</v>
      </c>
      <c r="L157" s="169">
        <v>2000</v>
      </c>
      <c r="M157" s="172">
        <f t="shared" si="12"/>
        <v>114.66849999999999</v>
      </c>
      <c r="N157" s="167">
        <v>21197</v>
      </c>
      <c r="O157" s="169">
        <v>1000</v>
      </c>
      <c r="P157" s="172">
        <f t="shared" si="16"/>
        <v>21.196999999999999</v>
      </c>
      <c r="Q157" s="55"/>
      <c r="R157" s="55"/>
      <c r="S157" s="55"/>
      <c r="T157" s="55"/>
      <c r="U157" s="55"/>
      <c r="V157" s="55"/>
      <c r="W157" s="55"/>
      <c r="X157" s="55"/>
      <c r="Y157" s="55"/>
      <c r="Z157" s="55"/>
    </row>
    <row r="158" spans="1:26" ht="15.75" customHeight="1">
      <c r="A158" s="182" t="s">
        <v>264</v>
      </c>
      <c r="B158" s="183">
        <v>44943</v>
      </c>
      <c r="C158" s="166">
        <v>25</v>
      </c>
      <c r="D158" s="167">
        <v>232667</v>
      </c>
      <c r="E158" s="167">
        <v>2687105</v>
      </c>
      <c r="F158" s="168">
        <f t="shared" si="17"/>
        <v>107484.2</v>
      </c>
      <c r="G158" s="168">
        <f t="shared" si="18"/>
        <v>9306.68</v>
      </c>
      <c r="H158" s="167">
        <v>2013278</v>
      </c>
      <c r="I158" s="169">
        <v>1500</v>
      </c>
      <c r="J158" s="170">
        <f t="shared" si="11"/>
        <v>1342.1853333333333</v>
      </c>
      <c r="K158" s="167">
        <v>211704</v>
      </c>
      <c r="L158" s="169">
        <v>1000</v>
      </c>
      <c r="M158" s="172">
        <f t="shared" si="12"/>
        <v>211.70400000000001</v>
      </c>
      <c r="N158" s="167">
        <v>7209</v>
      </c>
      <c r="O158" s="169">
        <v>500</v>
      </c>
      <c r="P158" s="172">
        <f t="shared" si="16"/>
        <v>14.417999999999999</v>
      </c>
      <c r="Q158" s="55"/>
      <c r="R158" s="55"/>
      <c r="S158" s="55"/>
      <c r="T158" s="55"/>
      <c r="U158" s="55"/>
      <c r="V158" s="55"/>
      <c r="W158" s="55"/>
      <c r="X158" s="55"/>
      <c r="Y158" s="55"/>
      <c r="Z158" s="55"/>
    </row>
    <row r="159" spans="1:26" ht="15.75" customHeight="1">
      <c r="A159" s="182" t="s">
        <v>265</v>
      </c>
      <c r="B159" s="183">
        <v>44944</v>
      </c>
      <c r="C159" s="166">
        <v>10</v>
      </c>
      <c r="D159" s="167">
        <v>5177</v>
      </c>
      <c r="E159" s="167">
        <v>636694</v>
      </c>
      <c r="F159" s="168">
        <f t="shared" si="17"/>
        <v>63669.4</v>
      </c>
      <c r="G159" s="168">
        <f t="shared" si="18"/>
        <v>517.70000000000005</v>
      </c>
      <c r="H159" s="167">
        <v>0</v>
      </c>
      <c r="I159" s="169">
        <v>0</v>
      </c>
      <c r="J159" s="170"/>
      <c r="K159" s="167">
        <v>0</v>
      </c>
      <c r="L159" s="169">
        <v>0</v>
      </c>
      <c r="M159" s="172"/>
      <c r="N159" s="167">
        <v>0</v>
      </c>
      <c r="O159" s="169">
        <v>0</v>
      </c>
      <c r="P159" s="172"/>
      <c r="Q159" s="55"/>
      <c r="R159" s="55"/>
      <c r="S159" s="55"/>
      <c r="T159" s="55"/>
      <c r="U159" s="55"/>
      <c r="V159" s="55"/>
      <c r="W159" s="55"/>
      <c r="X159" s="55"/>
      <c r="Y159" s="55"/>
      <c r="Z159" s="55"/>
    </row>
    <row r="160" spans="1:26" ht="15.75" customHeight="1">
      <c r="A160" s="182" t="s">
        <v>266</v>
      </c>
      <c r="B160" s="183">
        <v>44928</v>
      </c>
      <c r="C160" s="166">
        <v>10</v>
      </c>
      <c r="D160" s="167">
        <v>156639</v>
      </c>
      <c r="E160" s="167">
        <v>721552</v>
      </c>
      <c r="F160" s="168">
        <f t="shared" si="17"/>
        <v>72155.199999999997</v>
      </c>
      <c r="G160" s="168">
        <f t="shared" si="18"/>
        <v>15663.9</v>
      </c>
      <c r="H160" s="167">
        <v>1022614</v>
      </c>
      <c r="I160" s="169">
        <v>500</v>
      </c>
      <c r="J160" s="170">
        <f t="shared" si="11"/>
        <v>2045.2280000000001</v>
      </c>
      <c r="K160" s="167">
        <v>151985</v>
      </c>
      <c r="L160" s="169">
        <v>500</v>
      </c>
      <c r="M160" s="172">
        <f t="shared" si="12"/>
        <v>303.97000000000003</v>
      </c>
      <c r="N160" s="167">
        <v>506</v>
      </c>
      <c r="O160" s="169">
        <v>0</v>
      </c>
      <c r="P160" s="172"/>
      <c r="Q160" s="55"/>
      <c r="R160" s="55"/>
      <c r="S160" s="55"/>
      <c r="T160" s="55"/>
      <c r="U160" s="55"/>
      <c r="V160" s="55"/>
      <c r="W160" s="55"/>
      <c r="X160" s="55"/>
      <c r="Y160" s="55"/>
      <c r="Z160" s="55"/>
    </row>
    <row r="161" spans="1:26" ht="15.75" customHeight="1">
      <c r="A161" s="182" t="s">
        <v>267</v>
      </c>
      <c r="B161" s="183">
        <v>44935</v>
      </c>
      <c r="C161" s="166">
        <v>32</v>
      </c>
      <c r="D161" s="167">
        <v>597626</v>
      </c>
      <c r="E161" s="167">
        <v>2335541</v>
      </c>
      <c r="F161" s="168">
        <f t="shared" si="17"/>
        <v>72985.65625</v>
      </c>
      <c r="G161" s="168">
        <f t="shared" si="18"/>
        <v>18675.8125</v>
      </c>
      <c r="H161" s="167">
        <v>3917430</v>
      </c>
      <c r="I161" s="169">
        <v>2798</v>
      </c>
      <c r="J161" s="170">
        <f>H161/I161</f>
        <v>1400.0822015725519</v>
      </c>
      <c r="K161" s="167">
        <v>575558</v>
      </c>
      <c r="L161" s="169">
        <v>702.04</v>
      </c>
      <c r="M161" s="172">
        <f t="shared" si="12"/>
        <v>819.83647655404252</v>
      </c>
      <c r="N161" s="167">
        <v>19506</v>
      </c>
      <c r="O161" s="169">
        <v>1000</v>
      </c>
      <c r="P161" s="172">
        <f t="shared" si="16"/>
        <v>19.506</v>
      </c>
      <c r="Q161" s="55"/>
      <c r="R161" s="55"/>
      <c r="S161" s="55"/>
      <c r="T161" s="55"/>
      <c r="U161" s="55"/>
      <c r="V161" s="55"/>
      <c r="W161" s="55"/>
      <c r="X161" s="55"/>
      <c r="Y161" s="55"/>
      <c r="Z161" s="55"/>
    </row>
    <row r="162" spans="1:26" s="198" customFormat="1" ht="15.75" customHeight="1">
      <c r="A162" s="189" t="s">
        <v>268</v>
      </c>
      <c r="B162" s="190">
        <v>44927</v>
      </c>
      <c r="C162" s="191">
        <v>25</v>
      </c>
      <c r="D162" s="192">
        <v>609369</v>
      </c>
      <c r="E162" s="192">
        <v>3573503</v>
      </c>
      <c r="F162" s="193">
        <f t="shared" si="17"/>
        <v>142940.12</v>
      </c>
      <c r="G162" s="193">
        <f t="shared" si="18"/>
        <v>24374.76</v>
      </c>
      <c r="H162" s="192">
        <v>8519570</v>
      </c>
      <c r="I162" s="194">
        <v>7265</v>
      </c>
      <c r="J162" s="195">
        <f t="shared" si="11"/>
        <v>1172.6868547832071</v>
      </c>
      <c r="K162" s="192">
        <v>554909</v>
      </c>
      <c r="L162" s="194">
        <v>735</v>
      </c>
      <c r="M162" s="196">
        <f t="shared" si="12"/>
        <v>754.97823129251697</v>
      </c>
      <c r="N162" s="192">
        <v>39552</v>
      </c>
      <c r="O162" s="194">
        <v>3000</v>
      </c>
      <c r="P162" s="196">
        <f t="shared" si="16"/>
        <v>13.183999999999999</v>
      </c>
      <c r="Q162" s="197"/>
      <c r="R162" s="197"/>
      <c r="S162" s="197"/>
      <c r="T162" s="197"/>
      <c r="U162" s="197"/>
      <c r="V162" s="197"/>
      <c r="W162" s="197"/>
      <c r="X162" s="197"/>
      <c r="Y162" s="197"/>
      <c r="Z162" s="197"/>
    </row>
    <row r="163" spans="1:26" ht="15.75" customHeight="1">
      <c r="A163" s="182" t="s">
        <v>269</v>
      </c>
      <c r="B163" s="183">
        <v>44960</v>
      </c>
      <c r="C163" s="166">
        <v>13</v>
      </c>
      <c r="D163" s="167">
        <v>415211</v>
      </c>
      <c r="E163" s="167">
        <v>813750</v>
      </c>
      <c r="F163" s="168">
        <f t="shared" si="17"/>
        <v>62596.153846153844</v>
      </c>
      <c r="G163" s="168">
        <f t="shared" si="18"/>
        <v>31939.307692307691</v>
      </c>
      <c r="H163" s="167">
        <v>4936821</v>
      </c>
      <c r="I163" s="169">
        <v>6282</v>
      </c>
      <c r="J163" s="170">
        <f t="shared" si="11"/>
        <v>785.86771728748806</v>
      </c>
      <c r="K163" s="167">
        <v>405886</v>
      </c>
      <c r="L163" s="169">
        <v>1418.95</v>
      </c>
      <c r="M163" s="172">
        <f t="shared" si="12"/>
        <v>286.04672469079247</v>
      </c>
      <c r="N163" s="167">
        <v>4377</v>
      </c>
      <c r="O163" s="169">
        <v>0</v>
      </c>
      <c r="P163" s="172"/>
      <c r="Q163" s="55"/>
      <c r="R163" s="55"/>
      <c r="S163" s="55"/>
      <c r="T163" s="55"/>
      <c r="U163" s="55"/>
      <c r="V163" s="55"/>
      <c r="W163" s="55"/>
      <c r="X163" s="55"/>
      <c r="Y163" s="55"/>
      <c r="Z163" s="55"/>
    </row>
    <row r="164" spans="1:26" ht="15.75" customHeight="1">
      <c r="A164" s="182" t="s">
        <v>270</v>
      </c>
      <c r="B164" s="183">
        <v>44963</v>
      </c>
      <c r="C164" s="166">
        <v>11</v>
      </c>
      <c r="D164" s="167">
        <v>158401</v>
      </c>
      <c r="E164" s="167">
        <v>1708544</v>
      </c>
      <c r="F164" s="168">
        <f t="shared" si="17"/>
        <v>155322.18181818182</v>
      </c>
      <c r="G164" s="168">
        <f t="shared" si="18"/>
        <v>14400.09090909091</v>
      </c>
      <c r="H164" s="167">
        <v>1059503</v>
      </c>
      <c r="I164" s="169">
        <v>531.65</v>
      </c>
      <c r="J164" s="170">
        <f t="shared" si="11"/>
        <v>1992.8580833254962</v>
      </c>
      <c r="K164" s="167">
        <v>137365</v>
      </c>
      <c r="L164" s="169">
        <v>279.94</v>
      </c>
      <c r="M164" s="172">
        <f t="shared" si="12"/>
        <v>490.69443452168321</v>
      </c>
      <c r="N164" s="167">
        <v>4724</v>
      </c>
      <c r="O164" s="169">
        <v>269.19</v>
      </c>
      <c r="P164" s="172">
        <f t="shared" si="16"/>
        <v>17.548943125673315</v>
      </c>
      <c r="Q164" s="55"/>
      <c r="R164" s="55"/>
      <c r="S164" s="55"/>
      <c r="T164" s="55"/>
      <c r="U164" s="55"/>
      <c r="V164" s="55"/>
      <c r="W164" s="55"/>
      <c r="X164" s="55"/>
      <c r="Y164" s="55"/>
      <c r="Z164" s="55"/>
    </row>
    <row r="165" spans="1:26" ht="15.75" customHeight="1">
      <c r="A165" s="182" t="s">
        <v>271</v>
      </c>
      <c r="B165" s="183">
        <v>44963</v>
      </c>
      <c r="C165" s="166">
        <v>12</v>
      </c>
      <c r="D165" s="167">
        <v>23385</v>
      </c>
      <c r="E165" s="167">
        <v>1373972</v>
      </c>
      <c r="F165" s="168">
        <f t="shared" si="17"/>
        <v>114497.66666666667</v>
      </c>
      <c r="G165" s="168">
        <f t="shared" si="18"/>
        <v>1948.75</v>
      </c>
      <c r="H165" s="167">
        <v>609908</v>
      </c>
      <c r="I165" s="169">
        <v>500</v>
      </c>
      <c r="J165" s="170">
        <f t="shared" si="11"/>
        <v>1219.816</v>
      </c>
      <c r="K165" s="167">
        <v>13425</v>
      </c>
      <c r="L165" s="169">
        <v>500</v>
      </c>
      <c r="M165" s="172">
        <f t="shared" si="12"/>
        <v>26.85</v>
      </c>
      <c r="N165" s="167">
        <v>450</v>
      </c>
      <c r="O165" s="169">
        <v>0</v>
      </c>
      <c r="P165" s="172"/>
      <c r="Q165" s="55"/>
      <c r="R165" s="55"/>
      <c r="S165" s="55"/>
      <c r="T165" s="55"/>
      <c r="U165" s="55"/>
      <c r="V165" s="55"/>
      <c r="W165" s="55"/>
      <c r="X165" s="55"/>
      <c r="Y165" s="55"/>
      <c r="Z165" s="55"/>
    </row>
    <row r="166" spans="1:26" ht="15.75" customHeight="1">
      <c r="A166" s="182" t="s">
        <v>272</v>
      </c>
      <c r="B166" s="183">
        <v>44985</v>
      </c>
      <c r="C166" s="166">
        <v>10</v>
      </c>
      <c r="D166" s="167">
        <v>213943</v>
      </c>
      <c r="E166" s="167">
        <v>2161786</v>
      </c>
      <c r="F166" s="168">
        <f t="shared" si="17"/>
        <v>216178.6</v>
      </c>
      <c r="G166" s="168">
        <f t="shared" si="18"/>
        <v>21394.3</v>
      </c>
      <c r="H166" s="167">
        <v>1124111</v>
      </c>
      <c r="I166" s="169">
        <v>750</v>
      </c>
      <c r="J166" s="170">
        <f>H166/I166</f>
        <v>1498.8146666666667</v>
      </c>
      <c r="K166" s="167">
        <v>205706</v>
      </c>
      <c r="L166" s="169">
        <v>750</v>
      </c>
      <c r="M166" s="172">
        <f t="shared" si="12"/>
        <v>274.27466666666669</v>
      </c>
      <c r="N166" s="167">
        <v>521</v>
      </c>
      <c r="O166" s="169">
        <v>0</v>
      </c>
      <c r="P166" s="172"/>
      <c r="Q166" s="55"/>
      <c r="R166" s="55"/>
      <c r="S166" s="55"/>
      <c r="T166" s="55"/>
      <c r="U166" s="55"/>
      <c r="V166" s="55"/>
      <c r="W166" s="55"/>
      <c r="X166" s="55"/>
      <c r="Y166" s="55"/>
      <c r="Z166" s="55"/>
    </row>
    <row r="167" spans="1:26" ht="15.75" customHeight="1">
      <c r="A167" s="182" t="s">
        <v>273</v>
      </c>
      <c r="B167" s="183">
        <v>44887</v>
      </c>
      <c r="C167" s="166">
        <v>4</v>
      </c>
      <c r="D167" s="167">
        <v>620611</v>
      </c>
      <c r="E167" s="167">
        <v>1115529</v>
      </c>
      <c r="F167" s="168">
        <f t="shared" si="17"/>
        <v>278882.25</v>
      </c>
      <c r="G167" s="168">
        <f t="shared" si="18"/>
        <v>155152.75</v>
      </c>
      <c r="H167" s="167">
        <v>1861729</v>
      </c>
      <c r="I167" s="169">
        <v>2000</v>
      </c>
      <c r="J167" s="170">
        <f t="shared" si="11"/>
        <v>930.86450000000002</v>
      </c>
      <c r="K167" s="167">
        <v>603859</v>
      </c>
      <c r="L167" s="169">
        <v>2000</v>
      </c>
      <c r="M167" s="172">
        <f t="shared" si="12"/>
        <v>301.92950000000002</v>
      </c>
      <c r="N167" s="167">
        <v>22</v>
      </c>
      <c r="O167" s="169">
        <v>0</v>
      </c>
      <c r="P167" s="172"/>
      <c r="Q167" s="55"/>
      <c r="R167" s="55"/>
      <c r="S167" s="55"/>
      <c r="T167" s="55"/>
      <c r="U167" s="55"/>
      <c r="V167" s="55"/>
      <c r="W167" s="55"/>
      <c r="X167" s="55"/>
      <c r="Y167" s="55"/>
      <c r="Z167" s="55"/>
    </row>
    <row r="168" spans="1:26" ht="15.75" customHeight="1">
      <c r="A168" s="182" t="s">
        <v>274</v>
      </c>
      <c r="B168" s="183">
        <v>44986</v>
      </c>
      <c r="C168" s="166">
        <v>23</v>
      </c>
      <c r="D168" s="167">
        <v>73196</v>
      </c>
      <c r="E168" s="167">
        <v>4429406</v>
      </c>
      <c r="F168" s="168">
        <f t="shared" si="17"/>
        <v>192582.86956521738</v>
      </c>
      <c r="G168" s="168">
        <f t="shared" si="18"/>
        <v>3182.4347826086955</v>
      </c>
      <c r="H168" s="167">
        <v>1138950</v>
      </c>
      <c r="I168" s="169">
        <v>1000</v>
      </c>
      <c r="J168" s="170">
        <f t="shared" si="11"/>
        <v>1138.95</v>
      </c>
      <c r="K168" s="167">
        <v>16548</v>
      </c>
      <c r="L168" s="169">
        <v>1000</v>
      </c>
      <c r="M168" s="172">
        <f t="shared" si="12"/>
        <v>16.547999999999998</v>
      </c>
      <c r="N168" s="167">
        <v>6238</v>
      </c>
      <c r="O168" s="169">
        <v>1000</v>
      </c>
      <c r="P168" s="172">
        <f t="shared" si="16"/>
        <v>6.2380000000000004</v>
      </c>
      <c r="Q168" s="55"/>
      <c r="R168" s="55"/>
      <c r="S168" s="55"/>
      <c r="T168" s="55"/>
      <c r="U168" s="55"/>
      <c r="V168" s="55"/>
      <c r="W168" s="55"/>
      <c r="X168" s="55"/>
      <c r="Y168" s="55"/>
      <c r="Z168" s="55"/>
    </row>
    <row r="169" spans="1:26" ht="15.75" customHeight="1">
      <c r="A169" s="171" t="s">
        <v>275</v>
      </c>
      <c r="B169" s="199">
        <v>44970</v>
      </c>
      <c r="C169" s="171">
        <v>12</v>
      </c>
      <c r="D169" s="168">
        <v>206680</v>
      </c>
      <c r="E169" s="168">
        <v>3345902</v>
      </c>
      <c r="F169" s="168">
        <f t="shared" si="17"/>
        <v>278825.16666666669</v>
      </c>
      <c r="G169" s="168">
        <f t="shared" si="18"/>
        <v>17223.333333333332</v>
      </c>
      <c r="H169" s="168">
        <v>1139189</v>
      </c>
      <c r="I169" s="201">
        <v>722.06</v>
      </c>
      <c r="J169" s="200">
        <f t="shared" si="11"/>
        <v>1577.6929895022577</v>
      </c>
      <c r="K169" s="168">
        <v>185600</v>
      </c>
      <c r="L169" s="202">
        <v>730.78</v>
      </c>
      <c r="M169" s="203">
        <f t="shared" si="12"/>
        <v>253.97520457593257</v>
      </c>
      <c r="N169" s="200">
        <v>4604</v>
      </c>
      <c r="O169" s="202">
        <v>368.92</v>
      </c>
      <c r="P169" s="172">
        <f t="shared" si="16"/>
        <v>12.47967038924428</v>
      </c>
      <c r="Q169" s="55"/>
      <c r="R169" s="55"/>
      <c r="S169" s="55"/>
      <c r="T169" s="55"/>
      <c r="U169" s="55"/>
      <c r="V169" s="55"/>
      <c r="W169" s="55"/>
      <c r="X169" s="55"/>
      <c r="Y169" s="55"/>
      <c r="Z169" s="55"/>
    </row>
    <row r="170" spans="1:26" ht="15.75" customHeight="1">
      <c r="A170" s="171" t="s">
        <v>276</v>
      </c>
      <c r="B170" s="204" t="s">
        <v>277</v>
      </c>
      <c r="C170" s="171">
        <v>2</v>
      </c>
      <c r="D170" s="168">
        <v>1540</v>
      </c>
      <c r="E170" s="168">
        <v>423028</v>
      </c>
      <c r="F170" s="168">
        <f t="shared" si="17"/>
        <v>211514</v>
      </c>
      <c r="G170" s="171">
        <f t="shared" si="18"/>
        <v>770</v>
      </c>
      <c r="H170" s="167">
        <v>0</v>
      </c>
      <c r="I170" s="201">
        <v>0</v>
      </c>
      <c r="J170" s="200">
        <v>0</v>
      </c>
      <c r="K170" s="205">
        <v>0</v>
      </c>
      <c r="L170" s="202">
        <v>0</v>
      </c>
      <c r="M170" s="171">
        <v>0</v>
      </c>
      <c r="N170" s="171">
        <v>0</v>
      </c>
      <c r="O170" s="202">
        <v>0</v>
      </c>
      <c r="P170" s="172">
        <v>0</v>
      </c>
      <c r="Q170" s="55"/>
      <c r="R170" s="55"/>
      <c r="S170" s="55"/>
      <c r="T170" s="55"/>
      <c r="U170" s="55"/>
      <c r="V170" s="55"/>
      <c r="W170" s="55"/>
      <c r="X170" s="55"/>
      <c r="Y170" s="55"/>
      <c r="Z170" s="55"/>
    </row>
    <row r="171" spans="1:26" ht="15.75" customHeight="1">
      <c r="A171" s="171" t="s">
        <v>278</v>
      </c>
      <c r="B171" s="199">
        <v>44988</v>
      </c>
      <c r="C171" s="171">
        <v>14</v>
      </c>
      <c r="D171" s="168">
        <v>159818</v>
      </c>
      <c r="E171" s="168">
        <v>1657061</v>
      </c>
      <c r="F171" s="168">
        <f t="shared" si="17"/>
        <v>118361.5</v>
      </c>
      <c r="G171" s="168">
        <f t="shared" si="18"/>
        <v>11415.571428571429</v>
      </c>
      <c r="H171" s="168">
        <v>2091231</v>
      </c>
      <c r="I171" s="201">
        <v>2000</v>
      </c>
      <c r="J171" s="200">
        <f>H171/I171</f>
        <v>1045.6155000000001</v>
      </c>
      <c r="K171" s="168">
        <v>151637</v>
      </c>
      <c r="L171" s="202">
        <v>2000</v>
      </c>
      <c r="M171" s="203">
        <f t="shared" si="12"/>
        <v>75.8185</v>
      </c>
      <c r="N171" s="171">
        <v>0</v>
      </c>
      <c r="O171" s="202">
        <v>0</v>
      </c>
      <c r="P171" s="172">
        <v>0</v>
      </c>
      <c r="Q171" s="55"/>
      <c r="R171" s="55"/>
      <c r="S171" s="55"/>
      <c r="T171" s="55"/>
      <c r="U171" s="55"/>
      <c r="V171" s="55"/>
      <c r="W171" s="55"/>
      <c r="X171" s="55"/>
      <c r="Y171" s="55"/>
      <c r="Z171" s="55"/>
    </row>
    <row r="172" spans="1:26" ht="15.75" customHeight="1">
      <c r="A172" s="171" t="s">
        <v>279</v>
      </c>
      <c r="B172" s="199">
        <v>44998</v>
      </c>
      <c r="C172" s="171">
        <v>17</v>
      </c>
      <c r="D172" s="168">
        <v>295192</v>
      </c>
      <c r="E172" s="168">
        <v>2356057</v>
      </c>
      <c r="F172" s="168">
        <f t="shared" si="17"/>
        <v>138591.58823529413</v>
      </c>
      <c r="G172" s="168">
        <f t="shared" si="18"/>
        <v>17364.235294117647</v>
      </c>
      <c r="H172" s="168">
        <v>1672959</v>
      </c>
      <c r="I172" s="206">
        <v>890.75</v>
      </c>
      <c r="J172" s="200">
        <f t="shared" ref="J172:J235" si="19">H172/I172</f>
        <v>1878.1465057535784</v>
      </c>
      <c r="K172" s="207">
        <v>281539</v>
      </c>
      <c r="L172" s="201">
        <v>1109.08</v>
      </c>
      <c r="M172" s="203">
        <f t="shared" si="12"/>
        <v>253.84913622101203</v>
      </c>
      <c r="N172" s="171">
        <v>0</v>
      </c>
      <c r="O172" s="202">
        <v>0</v>
      </c>
      <c r="P172" s="172">
        <v>0</v>
      </c>
      <c r="Q172" s="55"/>
      <c r="R172" s="55"/>
      <c r="S172" s="55"/>
      <c r="T172" s="55"/>
      <c r="U172" s="55"/>
      <c r="V172" s="55"/>
      <c r="W172" s="55"/>
      <c r="X172" s="55"/>
      <c r="Y172" s="55"/>
      <c r="Z172" s="55"/>
    </row>
    <row r="173" spans="1:26" ht="15.75" customHeight="1">
      <c r="A173" s="171" t="s">
        <v>280</v>
      </c>
      <c r="B173" s="199">
        <v>45008</v>
      </c>
      <c r="C173" s="171">
        <v>23</v>
      </c>
      <c r="D173" s="168">
        <v>1214644</v>
      </c>
      <c r="E173" s="168">
        <v>5561618</v>
      </c>
      <c r="F173" s="168">
        <f t="shared" si="17"/>
        <v>241809.47826086957</v>
      </c>
      <c r="G173" s="168">
        <f t="shared" si="18"/>
        <v>52810.608695652176</v>
      </c>
      <c r="H173" s="168">
        <v>6238230</v>
      </c>
      <c r="I173" s="201">
        <v>6000</v>
      </c>
      <c r="J173" s="200">
        <f t="shared" si="19"/>
        <v>1039.7049999999999</v>
      </c>
      <c r="K173" s="168">
        <v>1167516</v>
      </c>
      <c r="L173" s="202">
        <v>4000</v>
      </c>
      <c r="M173" s="203">
        <f t="shared" si="12"/>
        <v>291.87900000000002</v>
      </c>
      <c r="N173" s="171">
        <v>21848</v>
      </c>
      <c r="O173" s="202">
        <v>2000</v>
      </c>
      <c r="P173" s="172">
        <f t="shared" si="16"/>
        <v>10.923999999999999</v>
      </c>
      <c r="Q173" s="55"/>
      <c r="R173" s="55"/>
      <c r="S173" s="55"/>
      <c r="T173" s="55"/>
      <c r="U173" s="55"/>
      <c r="V173" s="55"/>
      <c r="W173" s="55"/>
      <c r="X173" s="55"/>
      <c r="Y173" s="55"/>
      <c r="Z173" s="55"/>
    </row>
    <row r="174" spans="1:26" ht="15.75" customHeight="1">
      <c r="A174" s="171" t="s">
        <v>281</v>
      </c>
      <c r="B174" s="199">
        <v>45015</v>
      </c>
      <c r="C174" s="171">
        <v>16</v>
      </c>
      <c r="D174" s="168">
        <v>594776</v>
      </c>
      <c r="E174" s="168">
        <v>3024362</v>
      </c>
      <c r="F174" s="168">
        <f t="shared" si="17"/>
        <v>189022.625</v>
      </c>
      <c r="G174" s="168">
        <f t="shared" si="18"/>
        <v>37173.5</v>
      </c>
      <c r="H174" s="168">
        <v>3256094</v>
      </c>
      <c r="I174" s="201">
        <v>2500</v>
      </c>
      <c r="J174" s="200">
        <f t="shared" si="19"/>
        <v>1302.4376</v>
      </c>
      <c r="K174" s="168">
        <v>574481</v>
      </c>
      <c r="L174" s="202">
        <v>2500</v>
      </c>
      <c r="M174" s="203">
        <f t="shared" si="12"/>
        <v>229.79239999999999</v>
      </c>
      <c r="N174" s="171">
        <v>6866</v>
      </c>
      <c r="O174" s="202">
        <v>0</v>
      </c>
      <c r="P174" s="172">
        <v>0</v>
      </c>
      <c r="Q174" s="55"/>
      <c r="R174" s="55"/>
      <c r="S174" s="55"/>
      <c r="T174" s="55"/>
      <c r="U174" s="55"/>
      <c r="V174" s="55"/>
      <c r="W174" s="55"/>
      <c r="X174" s="55"/>
      <c r="Y174" s="55"/>
      <c r="Z174" s="55"/>
    </row>
    <row r="175" spans="1:26" ht="15.75" customHeight="1">
      <c r="A175" s="171" t="s">
        <v>282</v>
      </c>
      <c r="B175" s="199">
        <v>45004</v>
      </c>
      <c r="C175" s="171">
        <v>16</v>
      </c>
      <c r="D175" s="168">
        <v>121312</v>
      </c>
      <c r="E175" s="168">
        <v>2349672</v>
      </c>
      <c r="F175" s="168">
        <f t="shared" si="17"/>
        <v>146854.5</v>
      </c>
      <c r="G175" s="168">
        <f t="shared" si="18"/>
        <v>7582</v>
      </c>
      <c r="H175" s="168">
        <v>1613347</v>
      </c>
      <c r="I175" s="201">
        <v>1662.97</v>
      </c>
      <c r="J175" s="200">
        <f t="shared" si="19"/>
        <v>970.16001491307713</v>
      </c>
      <c r="K175" s="168">
        <v>113023</v>
      </c>
      <c r="L175" s="202">
        <v>254.63</v>
      </c>
      <c r="M175" s="203">
        <f t="shared" si="12"/>
        <v>443.87149982327298</v>
      </c>
      <c r="N175" s="171">
        <v>0</v>
      </c>
      <c r="O175" s="202">
        <v>0</v>
      </c>
      <c r="P175" s="172">
        <v>0</v>
      </c>
      <c r="Q175" s="55"/>
      <c r="R175" s="55"/>
      <c r="S175" s="55"/>
      <c r="T175" s="55"/>
      <c r="U175" s="55"/>
      <c r="V175" s="55"/>
      <c r="W175" s="55"/>
      <c r="X175" s="55"/>
      <c r="Y175" s="55"/>
      <c r="Z175" s="55"/>
    </row>
    <row r="176" spans="1:26" s="198" customFormat="1" ht="15.75" customHeight="1">
      <c r="A176" s="210" t="s">
        <v>283</v>
      </c>
      <c r="B176" s="211">
        <v>44985</v>
      </c>
      <c r="C176" s="210">
        <v>48</v>
      </c>
      <c r="D176" s="193">
        <v>2678481</v>
      </c>
      <c r="E176" s="193">
        <v>11623627</v>
      </c>
      <c r="F176" s="193">
        <f t="shared" si="17"/>
        <v>242158.89583333334</v>
      </c>
      <c r="G176" s="193">
        <f t="shared" si="18"/>
        <v>55801.6875</v>
      </c>
      <c r="H176" s="193">
        <v>18365111</v>
      </c>
      <c r="I176" s="212">
        <v>15000</v>
      </c>
      <c r="J176" s="213">
        <f t="shared" si="19"/>
        <v>1224.3407333333334</v>
      </c>
      <c r="K176" s="193">
        <v>2546222</v>
      </c>
      <c r="L176" s="214">
        <v>5000</v>
      </c>
      <c r="M176" s="215">
        <f t="shared" si="12"/>
        <v>509.24439999999998</v>
      </c>
      <c r="N176" s="193">
        <v>85378</v>
      </c>
      <c r="O176" s="214">
        <v>5000</v>
      </c>
      <c r="P176" s="196">
        <f t="shared" si="16"/>
        <v>17.075600000000001</v>
      </c>
      <c r="Q176" s="197"/>
      <c r="R176" s="197"/>
      <c r="S176" s="197"/>
      <c r="T176" s="197"/>
      <c r="U176" s="197"/>
      <c r="V176" s="197"/>
      <c r="W176" s="197"/>
      <c r="X176" s="197"/>
      <c r="Y176" s="197"/>
      <c r="Z176" s="197"/>
    </row>
    <row r="177" spans="1:26" ht="15.75" customHeight="1">
      <c r="A177" s="171" t="s">
        <v>284</v>
      </c>
      <c r="B177" s="199">
        <v>45016</v>
      </c>
      <c r="C177" s="171">
        <v>19</v>
      </c>
      <c r="D177" s="168">
        <v>1319830</v>
      </c>
      <c r="E177" s="168">
        <v>6305503</v>
      </c>
      <c r="F177" s="168">
        <f t="shared" si="17"/>
        <v>331868.57894736843</v>
      </c>
      <c r="G177" s="168">
        <f t="shared" si="18"/>
        <v>69464.736842105267</v>
      </c>
      <c r="H177" s="168">
        <v>6741189</v>
      </c>
      <c r="I177" s="201">
        <v>4000</v>
      </c>
      <c r="J177" s="200">
        <f t="shared" si="19"/>
        <v>1685.2972500000001</v>
      </c>
      <c r="K177" s="168">
        <v>1251739</v>
      </c>
      <c r="L177" s="202">
        <v>2000</v>
      </c>
      <c r="M177" s="203">
        <f t="shared" si="12"/>
        <v>625.86950000000002</v>
      </c>
      <c r="N177" s="168">
        <v>32025</v>
      </c>
      <c r="O177" s="202">
        <v>2000</v>
      </c>
      <c r="P177" s="172">
        <f t="shared" si="16"/>
        <v>16.012499999999999</v>
      </c>
      <c r="Q177" s="55"/>
      <c r="R177" s="55"/>
      <c r="S177" s="55"/>
      <c r="T177" s="55"/>
      <c r="U177" s="55"/>
      <c r="V177" s="55"/>
      <c r="W177" s="55"/>
      <c r="X177" s="55"/>
      <c r="Y177" s="55"/>
      <c r="Z177" s="55"/>
    </row>
    <row r="178" spans="1:26" ht="15.75" customHeight="1">
      <c r="A178" s="171" t="s">
        <v>285</v>
      </c>
      <c r="B178" s="199">
        <v>45019</v>
      </c>
      <c r="C178" s="171">
        <v>10</v>
      </c>
      <c r="D178" s="168">
        <v>166101</v>
      </c>
      <c r="E178" s="168">
        <v>1231505</v>
      </c>
      <c r="F178" s="208">
        <f t="shared" si="17"/>
        <v>123150.5</v>
      </c>
      <c r="G178" s="168">
        <f t="shared" si="18"/>
        <v>16610.099999999999</v>
      </c>
      <c r="H178" s="168">
        <v>682660</v>
      </c>
      <c r="I178" s="201">
        <v>500</v>
      </c>
      <c r="J178" s="200">
        <f t="shared" si="19"/>
        <v>1365.32</v>
      </c>
      <c r="K178" s="168">
        <v>156615</v>
      </c>
      <c r="L178" s="202">
        <v>500</v>
      </c>
      <c r="M178" s="171">
        <f t="shared" si="12"/>
        <v>313.23</v>
      </c>
      <c r="N178" s="168">
        <v>1165</v>
      </c>
      <c r="O178" s="202">
        <v>0</v>
      </c>
      <c r="P178" s="172">
        <v>0</v>
      </c>
      <c r="Q178" s="55"/>
      <c r="R178" s="55"/>
      <c r="S178" s="55"/>
      <c r="T178" s="55"/>
      <c r="U178" s="55"/>
      <c r="V178" s="55"/>
      <c r="W178" s="55"/>
      <c r="X178" s="55"/>
      <c r="Y178" s="55"/>
      <c r="Z178" s="55"/>
    </row>
    <row r="179" spans="1:26" ht="15.75" customHeight="1">
      <c r="A179" s="171" t="s">
        <v>286</v>
      </c>
      <c r="B179" s="199">
        <v>45014</v>
      </c>
      <c r="C179" s="171">
        <v>6</v>
      </c>
      <c r="D179" s="168">
        <v>95936</v>
      </c>
      <c r="E179" s="168">
        <v>959515</v>
      </c>
      <c r="F179" s="208">
        <f t="shared" si="17"/>
        <v>159919.16666666666</v>
      </c>
      <c r="G179" s="168">
        <f t="shared" si="18"/>
        <v>15989.333333333334</v>
      </c>
      <c r="H179" s="168">
        <v>1463930</v>
      </c>
      <c r="I179" s="201">
        <v>1000</v>
      </c>
      <c r="J179" s="200">
        <f t="shared" si="19"/>
        <v>1463.93</v>
      </c>
      <c r="K179" s="168">
        <v>82665</v>
      </c>
      <c r="L179" s="202">
        <v>500</v>
      </c>
      <c r="M179" s="171">
        <f t="shared" si="12"/>
        <v>165.33</v>
      </c>
      <c r="N179" s="168">
        <v>9481</v>
      </c>
      <c r="O179" s="202">
        <v>500</v>
      </c>
      <c r="P179" s="172">
        <f t="shared" si="16"/>
        <v>18.962</v>
      </c>
      <c r="Q179" s="55"/>
      <c r="R179" s="55"/>
      <c r="S179" s="55"/>
      <c r="T179" s="55"/>
      <c r="U179" s="55"/>
      <c r="V179" s="55"/>
      <c r="W179" s="55"/>
      <c r="X179" s="55"/>
      <c r="Y179" s="55"/>
      <c r="Z179" s="55"/>
    </row>
    <row r="180" spans="1:26" ht="15.75" customHeight="1">
      <c r="A180" s="171" t="s">
        <v>287</v>
      </c>
      <c r="B180" s="199">
        <v>45023</v>
      </c>
      <c r="C180" s="171">
        <v>6</v>
      </c>
      <c r="D180" s="168">
        <v>20257</v>
      </c>
      <c r="E180" s="168">
        <v>1302713</v>
      </c>
      <c r="F180" s="208">
        <f t="shared" si="17"/>
        <v>217118.83333333334</v>
      </c>
      <c r="G180" s="168">
        <f t="shared" si="18"/>
        <v>3376.1666666666665</v>
      </c>
      <c r="H180" s="168">
        <v>1327881</v>
      </c>
      <c r="I180" s="201">
        <v>1000</v>
      </c>
      <c r="J180" s="200">
        <f t="shared" si="19"/>
        <v>1327.8810000000001</v>
      </c>
      <c r="K180" s="168">
        <v>9147</v>
      </c>
      <c r="L180" s="202">
        <v>500</v>
      </c>
      <c r="M180" s="203">
        <f t="shared" si="12"/>
        <v>18.294</v>
      </c>
      <c r="N180" s="168">
        <v>8285</v>
      </c>
      <c r="O180" s="202">
        <v>500</v>
      </c>
      <c r="P180" s="172">
        <f t="shared" si="16"/>
        <v>16.57</v>
      </c>
      <c r="Q180" s="55"/>
      <c r="R180" s="55"/>
      <c r="S180" s="55"/>
      <c r="T180" s="55"/>
      <c r="U180" s="55"/>
      <c r="V180" s="55"/>
      <c r="W180" s="55"/>
      <c r="X180" s="55"/>
      <c r="Y180" s="55"/>
      <c r="Z180" s="55"/>
    </row>
    <row r="181" spans="1:26" ht="15.75" customHeight="1">
      <c r="A181" s="171" t="s">
        <v>101</v>
      </c>
      <c r="B181" s="199">
        <v>45043</v>
      </c>
      <c r="C181" s="171">
        <v>1</v>
      </c>
      <c r="D181" s="168">
        <v>128888</v>
      </c>
      <c r="E181" s="168">
        <v>645792</v>
      </c>
      <c r="F181" s="168">
        <f t="shared" si="17"/>
        <v>645792</v>
      </c>
      <c r="G181" s="168">
        <f t="shared" si="18"/>
        <v>128888</v>
      </c>
      <c r="H181" s="168">
        <v>562680</v>
      </c>
      <c r="I181" s="201">
        <v>1000</v>
      </c>
      <c r="J181" s="200">
        <f t="shared" si="19"/>
        <v>562.67999999999995</v>
      </c>
      <c r="K181" s="168">
        <v>128322</v>
      </c>
      <c r="L181" s="202">
        <v>500</v>
      </c>
      <c r="M181" s="203">
        <f t="shared" si="12"/>
        <v>256.64400000000001</v>
      </c>
      <c r="N181" s="168">
        <v>152</v>
      </c>
      <c r="O181" s="202">
        <v>0</v>
      </c>
      <c r="P181" s="172">
        <v>0</v>
      </c>
      <c r="Q181" s="55"/>
      <c r="R181" s="55"/>
      <c r="S181" s="55"/>
      <c r="T181" s="55"/>
      <c r="U181" s="55"/>
      <c r="V181" s="55"/>
      <c r="W181" s="55"/>
      <c r="X181" s="55"/>
      <c r="Y181" s="55"/>
      <c r="Z181" s="55"/>
    </row>
    <row r="182" spans="1:26" ht="15.75" customHeight="1">
      <c r="A182" s="171" t="s">
        <v>288</v>
      </c>
      <c r="B182" s="199">
        <v>45040</v>
      </c>
      <c r="C182" s="171">
        <v>8</v>
      </c>
      <c r="D182" s="168">
        <v>365720</v>
      </c>
      <c r="E182" s="168">
        <v>1350724</v>
      </c>
      <c r="F182" s="168">
        <f t="shared" si="17"/>
        <v>168840.5</v>
      </c>
      <c r="G182" s="168">
        <f t="shared" si="18"/>
        <v>45715</v>
      </c>
      <c r="H182" s="168">
        <v>1672173</v>
      </c>
      <c r="I182" s="201">
        <v>1000</v>
      </c>
      <c r="J182" s="200">
        <f t="shared" si="19"/>
        <v>1672.173</v>
      </c>
      <c r="K182" s="168">
        <v>361345</v>
      </c>
      <c r="L182" s="202">
        <v>1000</v>
      </c>
      <c r="M182" s="203">
        <f t="shared" si="12"/>
        <v>361.34500000000003</v>
      </c>
      <c r="N182" s="168">
        <v>17997</v>
      </c>
      <c r="O182" s="202">
        <v>1000</v>
      </c>
      <c r="P182" s="172">
        <f>N182/O182</f>
        <v>17.997</v>
      </c>
      <c r="Q182" s="55"/>
      <c r="R182" s="55"/>
      <c r="S182" s="55"/>
      <c r="T182" s="55"/>
      <c r="U182" s="55"/>
      <c r="V182" s="55"/>
      <c r="W182" s="55"/>
      <c r="X182" s="55"/>
      <c r="Y182" s="55"/>
      <c r="Z182" s="55"/>
    </row>
    <row r="183" spans="1:26" ht="15.75" customHeight="1">
      <c r="A183" s="171" t="s">
        <v>289</v>
      </c>
      <c r="B183" s="199">
        <v>45033</v>
      </c>
      <c r="C183" s="171">
        <v>5</v>
      </c>
      <c r="D183" s="168">
        <v>112421</v>
      </c>
      <c r="E183" s="168">
        <v>721142</v>
      </c>
      <c r="F183" s="168">
        <f t="shared" si="17"/>
        <v>144228.4</v>
      </c>
      <c r="G183" s="168">
        <f t="shared" si="18"/>
        <v>22484.2</v>
      </c>
      <c r="H183" s="168">
        <v>980557</v>
      </c>
      <c r="I183" s="201">
        <v>750</v>
      </c>
      <c r="J183" s="200">
        <f t="shared" si="19"/>
        <v>1307.4093333333333</v>
      </c>
      <c r="K183" s="168">
        <v>110412</v>
      </c>
      <c r="L183" s="202">
        <v>750</v>
      </c>
      <c r="M183" s="203">
        <f t="shared" si="12"/>
        <v>147.21600000000001</v>
      </c>
      <c r="N183" s="168">
        <v>85</v>
      </c>
      <c r="O183" s="202">
        <v>0</v>
      </c>
      <c r="P183" s="171">
        <v>0</v>
      </c>
      <c r="Q183" s="55"/>
      <c r="R183" s="55"/>
      <c r="S183" s="55"/>
      <c r="T183" s="55"/>
      <c r="U183" s="55"/>
      <c r="V183" s="55"/>
      <c r="W183" s="55"/>
      <c r="X183" s="55"/>
      <c r="Y183" s="55"/>
      <c r="Z183" s="55"/>
    </row>
    <row r="184" spans="1:26" ht="15.75" customHeight="1">
      <c r="A184" s="171" t="s">
        <v>290</v>
      </c>
      <c r="B184" s="199">
        <v>45033</v>
      </c>
      <c r="C184" s="171">
        <v>20</v>
      </c>
      <c r="D184" s="168">
        <v>190852</v>
      </c>
      <c r="E184" s="168">
        <v>952140</v>
      </c>
      <c r="F184" s="168">
        <f t="shared" si="17"/>
        <v>47607</v>
      </c>
      <c r="G184" s="168">
        <f t="shared" si="18"/>
        <v>9542.6</v>
      </c>
      <c r="H184" s="168">
        <v>953584</v>
      </c>
      <c r="I184" s="201">
        <v>750</v>
      </c>
      <c r="J184" s="200">
        <f t="shared" si="19"/>
        <v>1271.4453333333333</v>
      </c>
      <c r="K184" s="168">
        <v>181212</v>
      </c>
      <c r="L184" s="202">
        <v>750</v>
      </c>
      <c r="M184" s="203">
        <f t="shared" si="12"/>
        <v>241.61600000000001</v>
      </c>
      <c r="N184" s="168">
        <v>1066</v>
      </c>
      <c r="O184" s="202">
        <v>0</v>
      </c>
      <c r="P184" s="171">
        <v>0</v>
      </c>
      <c r="Q184" s="55"/>
      <c r="R184" s="55"/>
      <c r="S184" s="55"/>
      <c r="T184" s="55"/>
      <c r="U184" s="55"/>
      <c r="V184" s="55"/>
      <c r="W184" s="55"/>
      <c r="X184" s="55"/>
      <c r="Y184" s="55"/>
      <c r="Z184" s="55"/>
    </row>
    <row r="185" spans="1:26" ht="15.75" customHeight="1">
      <c r="A185" s="171" t="s">
        <v>291</v>
      </c>
      <c r="B185" s="199">
        <v>45067</v>
      </c>
      <c r="C185" s="171">
        <v>21</v>
      </c>
      <c r="D185" s="168">
        <v>1009061</v>
      </c>
      <c r="E185" s="168">
        <v>3789555</v>
      </c>
      <c r="F185" s="168">
        <f t="shared" si="17"/>
        <v>180455</v>
      </c>
      <c r="G185" s="168">
        <f t="shared" si="18"/>
        <v>48050.523809523809</v>
      </c>
      <c r="H185" s="168">
        <v>5540401</v>
      </c>
      <c r="I185" s="201">
        <v>2500</v>
      </c>
      <c r="J185" s="200">
        <f t="shared" si="19"/>
        <v>2216.1604000000002</v>
      </c>
      <c r="K185" s="168">
        <v>993432</v>
      </c>
      <c r="L185" s="202">
        <v>1500</v>
      </c>
      <c r="M185" s="203">
        <f t="shared" si="12"/>
        <v>662.28800000000001</v>
      </c>
      <c r="N185" s="168">
        <v>71918</v>
      </c>
      <c r="O185" s="202">
        <v>0</v>
      </c>
      <c r="P185" s="171">
        <v>0</v>
      </c>
      <c r="Q185" s="55"/>
      <c r="R185" s="55"/>
      <c r="S185" s="55"/>
      <c r="T185" s="55"/>
      <c r="U185" s="55"/>
      <c r="V185" s="55"/>
      <c r="W185" s="55"/>
      <c r="X185" s="55"/>
      <c r="Y185" s="55"/>
      <c r="Z185" s="55"/>
    </row>
    <row r="186" spans="1:26" ht="15.75" customHeight="1">
      <c r="A186" s="171" t="s">
        <v>292</v>
      </c>
      <c r="B186" s="199">
        <v>45043</v>
      </c>
      <c r="C186" s="171">
        <v>1</v>
      </c>
      <c r="D186" s="168">
        <v>1580</v>
      </c>
      <c r="E186" s="168">
        <v>94784</v>
      </c>
      <c r="F186" s="168">
        <f t="shared" si="17"/>
        <v>94784</v>
      </c>
      <c r="G186" s="168">
        <f t="shared" si="18"/>
        <v>1580</v>
      </c>
      <c r="H186" s="171">
        <v>0</v>
      </c>
      <c r="I186" s="201">
        <v>0</v>
      </c>
      <c r="J186" s="200">
        <v>0</v>
      </c>
      <c r="K186" s="168">
        <v>0</v>
      </c>
      <c r="L186" s="202">
        <v>0</v>
      </c>
      <c r="M186" s="203">
        <v>0</v>
      </c>
      <c r="N186" s="171">
        <v>0</v>
      </c>
      <c r="O186" s="202">
        <v>0</v>
      </c>
      <c r="P186" s="171">
        <v>0</v>
      </c>
      <c r="Q186" s="55"/>
      <c r="R186" s="55"/>
      <c r="S186" s="55"/>
      <c r="T186" s="55"/>
      <c r="U186" s="55"/>
      <c r="V186" s="55"/>
      <c r="W186" s="55"/>
      <c r="X186" s="55"/>
      <c r="Y186" s="55"/>
      <c r="Z186" s="55"/>
    </row>
    <row r="187" spans="1:26" ht="15.75" customHeight="1">
      <c r="A187" s="171" t="s">
        <v>101</v>
      </c>
      <c r="B187" s="199">
        <v>45043</v>
      </c>
      <c r="C187" s="171">
        <v>1</v>
      </c>
      <c r="D187" s="168">
        <v>128888</v>
      </c>
      <c r="E187" s="168">
        <v>645792</v>
      </c>
      <c r="F187" s="168">
        <f>E187/C187</f>
        <v>645792</v>
      </c>
      <c r="G187" s="168">
        <f>D187/C187</f>
        <v>128888</v>
      </c>
      <c r="H187" s="168">
        <v>562680</v>
      </c>
      <c r="I187" s="201">
        <v>500</v>
      </c>
      <c r="J187" s="200">
        <f>H187/I187</f>
        <v>1125.3599999999999</v>
      </c>
      <c r="K187" s="168">
        <v>128322</v>
      </c>
      <c r="L187" s="202">
        <v>500</v>
      </c>
      <c r="M187" s="203">
        <f>K187/L187</f>
        <v>256.64400000000001</v>
      </c>
      <c r="N187" s="171">
        <v>152</v>
      </c>
      <c r="O187" s="202">
        <v>0</v>
      </c>
      <c r="P187" s="171">
        <v>0</v>
      </c>
      <c r="Q187" s="55"/>
      <c r="R187" s="55"/>
      <c r="S187" s="55"/>
      <c r="T187" s="55"/>
      <c r="U187" s="55"/>
      <c r="V187" s="55"/>
      <c r="W187" s="55"/>
      <c r="X187" s="55"/>
      <c r="Y187" s="55"/>
      <c r="Z187" s="55"/>
    </row>
    <row r="188" spans="1:26" ht="15.75" customHeight="1">
      <c r="A188" s="171" t="s">
        <v>293</v>
      </c>
      <c r="B188" s="199">
        <v>45047</v>
      </c>
      <c r="C188" s="171">
        <v>30</v>
      </c>
      <c r="D188" s="168">
        <v>246076</v>
      </c>
      <c r="E188" s="168">
        <v>3341088</v>
      </c>
      <c r="F188" s="168">
        <f t="shared" si="17"/>
        <v>111369.60000000001</v>
      </c>
      <c r="G188" s="168">
        <f t="shared" si="18"/>
        <v>8202.5333333333328</v>
      </c>
      <c r="H188" s="168">
        <v>2926503</v>
      </c>
      <c r="I188" s="201">
        <v>2500</v>
      </c>
      <c r="J188" s="200">
        <f t="shared" si="19"/>
        <v>1170.6012000000001</v>
      </c>
      <c r="K188" s="168">
        <v>220367</v>
      </c>
      <c r="L188" s="202">
        <v>2000</v>
      </c>
      <c r="M188" s="203">
        <f t="shared" ref="M188:M233" si="20">K188/L188</f>
        <v>110.1835</v>
      </c>
      <c r="N188" s="168">
        <v>5817</v>
      </c>
      <c r="O188" s="202">
        <v>500</v>
      </c>
      <c r="P188" s="209">
        <f>N188/O188</f>
        <v>11.634</v>
      </c>
      <c r="Q188" s="55"/>
      <c r="R188" s="55"/>
      <c r="S188" s="55"/>
      <c r="T188" s="55"/>
      <c r="U188" s="55"/>
      <c r="V188" s="55"/>
      <c r="W188" s="55"/>
      <c r="X188" s="55"/>
      <c r="Y188" s="55"/>
      <c r="Z188" s="55"/>
    </row>
    <row r="189" spans="1:26" ht="15.75" customHeight="1">
      <c r="A189" s="171" t="s">
        <v>294</v>
      </c>
      <c r="B189" s="199">
        <v>45054</v>
      </c>
      <c r="C189" s="171">
        <v>22</v>
      </c>
      <c r="D189" s="168">
        <v>568734</v>
      </c>
      <c r="E189" s="168">
        <v>2684744</v>
      </c>
      <c r="F189" s="168">
        <f t="shared" si="17"/>
        <v>122033.81818181818</v>
      </c>
      <c r="G189" s="168">
        <f t="shared" si="18"/>
        <v>25851.545454545456</v>
      </c>
      <c r="H189" s="168">
        <v>2912536</v>
      </c>
      <c r="I189" s="201">
        <v>2500</v>
      </c>
      <c r="J189" s="200">
        <f t="shared" si="19"/>
        <v>1165.0144</v>
      </c>
      <c r="K189" s="168">
        <v>546649</v>
      </c>
      <c r="L189" s="202">
        <v>2500</v>
      </c>
      <c r="M189" s="203">
        <f t="shared" si="20"/>
        <v>218.65960000000001</v>
      </c>
      <c r="N189" s="168">
        <v>645</v>
      </c>
      <c r="O189" s="202">
        <v>0</v>
      </c>
      <c r="P189" s="171">
        <v>0</v>
      </c>
      <c r="Q189" s="55"/>
      <c r="R189" s="55"/>
      <c r="S189" s="55"/>
      <c r="T189" s="55"/>
      <c r="U189" s="55"/>
      <c r="V189" s="55"/>
      <c r="W189" s="55"/>
      <c r="X189" s="55"/>
      <c r="Y189" s="55"/>
      <c r="Z189" s="55"/>
    </row>
    <row r="190" spans="1:26" ht="15.75" customHeight="1">
      <c r="A190" s="171" t="s">
        <v>295</v>
      </c>
      <c r="B190" s="199">
        <v>45054</v>
      </c>
      <c r="C190" s="171">
        <v>20</v>
      </c>
      <c r="D190" s="168">
        <v>616001</v>
      </c>
      <c r="E190" s="168">
        <v>2533338</v>
      </c>
      <c r="F190" s="168">
        <f t="shared" si="17"/>
        <v>126666.9</v>
      </c>
      <c r="G190" s="168">
        <f t="shared" si="18"/>
        <v>30800.05</v>
      </c>
      <c r="H190" s="168">
        <v>3209613</v>
      </c>
      <c r="I190" s="201">
        <v>1750</v>
      </c>
      <c r="J190" s="200">
        <f t="shared" si="19"/>
        <v>1834.0645714285715</v>
      </c>
      <c r="K190" s="168">
        <v>604291</v>
      </c>
      <c r="L190" s="202">
        <v>1750</v>
      </c>
      <c r="M190" s="203">
        <f t="shared" si="20"/>
        <v>345.30914285714283</v>
      </c>
      <c r="N190" s="168">
        <v>6390</v>
      </c>
      <c r="O190" s="202">
        <v>0</v>
      </c>
      <c r="P190" s="171">
        <v>0</v>
      </c>
      <c r="Q190" s="55"/>
      <c r="R190" s="55"/>
      <c r="S190" s="55"/>
      <c r="T190" s="55"/>
      <c r="U190" s="55"/>
      <c r="V190" s="55"/>
      <c r="W190" s="55"/>
      <c r="X190" s="55"/>
      <c r="Y190" s="55"/>
      <c r="Z190" s="55"/>
    </row>
    <row r="191" spans="1:26" ht="15.75" customHeight="1">
      <c r="A191" s="171" t="s">
        <v>296</v>
      </c>
      <c r="B191" s="199">
        <v>45061</v>
      </c>
      <c r="C191" s="171">
        <v>10</v>
      </c>
      <c r="D191" s="168">
        <v>14422</v>
      </c>
      <c r="E191" s="168">
        <v>488208</v>
      </c>
      <c r="F191" s="205">
        <f t="shared" ref="F191:F293" si="21">E191/C191</f>
        <v>48820.800000000003</v>
      </c>
      <c r="G191" s="168">
        <f t="shared" si="18"/>
        <v>1442.2</v>
      </c>
      <c r="H191" s="168">
        <v>1024594</v>
      </c>
      <c r="I191" s="201">
        <v>500</v>
      </c>
      <c r="J191" s="200">
        <f t="shared" si="19"/>
        <v>2049.1880000000001</v>
      </c>
      <c r="K191" s="168">
        <v>9633</v>
      </c>
      <c r="L191" s="202">
        <v>500</v>
      </c>
      <c r="M191" s="203">
        <f t="shared" si="20"/>
        <v>19.265999999999998</v>
      </c>
      <c r="N191" s="171">
        <v>450</v>
      </c>
      <c r="O191" s="202">
        <v>0</v>
      </c>
      <c r="P191" s="171">
        <v>0</v>
      </c>
      <c r="Q191" s="55"/>
      <c r="R191" s="55"/>
      <c r="S191" s="55"/>
      <c r="T191" s="55"/>
      <c r="U191" s="55"/>
      <c r="V191" s="55"/>
      <c r="W191" s="55"/>
      <c r="X191" s="55"/>
      <c r="Y191" s="55"/>
      <c r="Z191" s="55"/>
    </row>
    <row r="192" spans="1:26" ht="15.75" customHeight="1">
      <c r="A192" s="171" t="s">
        <v>297</v>
      </c>
      <c r="B192" s="199">
        <v>45049</v>
      </c>
      <c r="C192" s="171">
        <v>34</v>
      </c>
      <c r="D192" s="168">
        <v>261204</v>
      </c>
      <c r="E192" s="168">
        <v>1827801</v>
      </c>
      <c r="F192" s="208">
        <f t="shared" si="21"/>
        <v>53758.852941176468</v>
      </c>
      <c r="G192" s="168">
        <f t="shared" si="18"/>
        <v>7682.4705882352937</v>
      </c>
      <c r="H192" s="168">
        <v>1694505</v>
      </c>
      <c r="I192" s="201">
        <v>1000</v>
      </c>
      <c r="J192" s="200">
        <f t="shared" si="19"/>
        <v>1694.5050000000001</v>
      </c>
      <c r="K192" s="168">
        <v>254649</v>
      </c>
      <c r="L192" s="202">
        <v>1000</v>
      </c>
      <c r="M192" s="203">
        <f t="shared" si="20"/>
        <v>254.649</v>
      </c>
      <c r="N192" s="168">
        <v>21493</v>
      </c>
      <c r="O192" s="202">
        <v>1000</v>
      </c>
      <c r="P192" s="209">
        <f t="shared" ref="P192:P198" si="22">N192/O192</f>
        <v>21.492999999999999</v>
      </c>
      <c r="Q192" s="55"/>
      <c r="R192" s="55"/>
      <c r="S192" s="55"/>
      <c r="T192" s="55"/>
      <c r="U192" s="55"/>
      <c r="V192" s="55"/>
      <c r="W192" s="55"/>
      <c r="X192" s="55"/>
      <c r="Y192" s="55"/>
      <c r="Z192" s="55"/>
    </row>
    <row r="193" spans="1:26" ht="15.75" customHeight="1">
      <c r="A193" s="171" t="s">
        <v>298</v>
      </c>
      <c r="B193" s="199">
        <v>45063</v>
      </c>
      <c r="C193" s="171">
        <v>12</v>
      </c>
      <c r="D193" s="168">
        <v>143143</v>
      </c>
      <c r="E193" s="168">
        <v>1130669</v>
      </c>
      <c r="F193" s="168">
        <f t="shared" si="21"/>
        <v>94222.416666666672</v>
      </c>
      <c r="G193" s="168">
        <f t="shared" si="18"/>
        <v>11928.583333333334</v>
      </c>
      <c r="H193" s="168">
        <v>1162504</v>
      </c>
      <c r="I193" s="201">
        <v>521.4</v>
      </c>
      <c r="J193" s="200">
        <f t="shared" si="19"/>
        <v>2229.5818948983506</v>
      </c>
      <c r="K193" s="168">
        <v>127826</v>
      </c>
      <c r="L193" s="202">
        <v>273.08999999999997</v>
      </c>
      <c r="M193" s="203">
        <f t="shared" si="20"/>
        <v>468.07279651396982</v>
      </c>
      <c r="N193" s="168">
        <v>5138</v>
      </c>
      <c r="O193" s="202">
        <v>274.49</v>
      </c>
      <c r="P193" s="209">
        <f t="shared" si="22"/>
        <v>18.718350395278517</v>
      </c>
      <c r="Q193" s="55"/>
      <c r="R193" s="55"/>
      <c r="S193" s="55"/>
      <c r="T193" s="55"/>
      <c r="U193" s="55"/>
      <c r="V193" s="55"/>
      <c r="W193" s="55"/>
      <c r="X193" s="55"/>
      <c r="Y193" s="55"/>
      <c r="Z193" s="55"/>
    </row>
    <row r="194" spans="1:26" ht="15.75" customHeight="1">
      <c r="A194" s="171" t="s">
        <v>299</v>
      </c>
      <c r="B194" s="199">
        <v>45077</v>
      </c>
      <c r="C194" s="171">
        <v>24</v>
      </c>
      <c r="D194" s="168">
        <v>214375</v>
      </c>
      <c r="E194" s="168">
        <v>4242382</v>
      </c>
      <c r="F194" s="168">
        <f t="shared" si="21"/>
        <v>176765.91666666666</v>
      </c>
      <c r="G194" s="168">
        <f t="shared" si="18"/>
        <v>8932.2916666666661</v>
      </c>
      <c r="H194" s="168">
        <v>1234572</v>
      </c>
      <c r="I194" s="201">
        <v>670.94</v>
      </c>
      <c r="J194" s="200">
        <f t="shared" si="19"/>
        <v>1840.063194920559</v>
      </c>
      <c r="K194" s="168">
        <v>196173</v>
      </c>
      <c r="L194" s="202">
        <v>534.58000000000004</v>
      </c>
      <c r="M194" s="203">
        <f t="shared" si="20"/>
        <v>366.96659059448535</v>
      </c>
      <c r="N194" s="168">
        <v>3241</v>
      </c>
      <c r="O194" s="202">
        <v>174.33</v>
      </c>
      <c r="P194" s="209">
        <f t="shared" si="22"/>
        <v>18.591177651580335</v>
      </c>
      <c r="Q194" s="55"/>
      <c r="R194" s="55"/>
      <c r="S194" s="55"/>
      <c r="T194" s="55"/>
      <c r="U194" s="55"/>
      <c r="V194" s="55"/>
      <c r="W194" s="55"/>
      <c r="X194" s="55"/>
      <c r="Y194" s="55"/>
      <c r="Z194" s="55"/>
    </row>
    <row r="195" spans="1:26" ht="15.75" customHeight="1">
      <c r="A195" s="171" t="s">
        <v>300</v>
      </c>
      <c r="B195" s="199">
        <v>45061</v>
      </c>
      <c r="C195" s="171">
        <v>12</v>
      </c>
      <c r="D195" s="168">
        <v>160136</v>
      </c>
      <c r="E195" s="168">
        <v>1365509</v>
      </c>
      <c r="F195" s="168">
        <f t="shared" si="21"/>
        <v>113792.41666666667</v>
      </c>
      <c r="G195" s="168">
        <f t="shared" si="18"/>
        <v>13344.666666666666</v>
      </c>
      <c r="H195" s="168">
        <v>958943</v>
      </c>
      <c r="I195" s="201">
        <v>519.20000000000005</v>
      </c>
      <c r="J195" s="200">
        <f t="shared" si="19"/>
        <v>1846.9626348228041</v>
      </c>
      <c r="K195" s="168">
        <v>145722</v>
      </c>
      <c r="L195" s="202">
        <v>272.26</v>
      </c>
      <c r="M195" s="203">
        <f t="shared" si="20"/>
        <v>535.23102916329981</v>
      </c>
      <c r="N195" s="168">
        <v>3827</v>
      </c>
      <c r="O195" s="202">
        <v>265.41000000000003</v>
      </c>
      <c r="P195" s="209">
        <f t="shared" si="22"/>
        <v>14.419200482272709</v>
      </c>
      <c r="Q195" s="55"/>
      <c r="R195" s="55"/>
      <c r="S195" s="55"/>
      <c r="T195" s="55"/>
      <c r="U195" s="55"/>
      <c r="V195" s="55"/>
      <c r="W195" s="55"/>
      <c r="X195" s="55"/>
      <c r="Y195" s="55"/>
      <c r="Z195" s="55"/>
    </row>
    <row r="196" spans="1:26" ht="15.75" customHeight="1">
      <c r="A196" s="171" t="s">
        <v>301</v>
      </c>
      <c r="B196" s="199">
        <v>45061</v>
      </c>
      <c r="C196" s="171">
        <v>12</v>
      </c>
      <c r="D196" s="168">
        <v>79293</v>
      </c>
      <c r="E196" s="168">
        <v>1486197</v>
      </c>
      <c r="F196" s="168">
        <f t="shared" si="21"/>
        <v>123849.75</v>
      </c>
      <c r="G196" s="168">
        <f t="shared" si="18"/>
        <v>6607.75</v>
      </c>
      <c r="H196" s="168">
        <v>1093676</v>
      </c>
      <c r="I196" s="201">
        <v>588.04999999999995</v>
      </c>
      <c r="J196" s="200">
        <f t="shared" si="19"/>
        <v>1859.8350480401327</v>
      </c>
      <c r="K196" s="168">
        <v>72215</v>
      </c>
      <c r="L196" s="202">
        <v>267.27</v>
      </c>
      <c r="M196" s="203">
        <f t="shared" si="20"/>
        <v>270.1949339619112</v>
      </c>
      <c r="N196" s="168">
        <v>2211</v>
      </c>
      <c r="O196" s="202">
        <v>270.36</v>
      </c>
      <c r="P196" s="203">
        <f t="shared" si="22"/>
        <v>8.1779849090102079</v>
      </c>
      <c r="Q196" s="55"/>
      <c r="R196" s="55"/>
      <c r="S196" s="55"/>
      <c r="T196" s="55"/>
      <c r="U196" s="55"/>
      <c r="V196" s="55"/>
      <c r="W196" s="55"/>
      <c r="X196" s="55"/>
      <c r="Y196" s="55"/>
      <c r="Z196" s="55"/>
    </row>
    <row r="197" spans="1:26" ht="15.75" customHeight="1">
      <c r="A197" s="171" t="s">
        <v>302</v>
      </c>
      <c r="B197" s="199">
        <v>45079</v>
      </c>
      <c r="C197" s="171">
        <v>6</v>
      </c>
      <c r="D197" s="168">
        <v>61596</v>
      </c>
      <c r="E197" s="168">
        <v>1466359</v>
      </c>
      <c r="F197" s="168">
        <f t="shared" si="21"/>
        <v>244393.16666666666</v>
      </c>
      <c r="G197" s="168">
        <f t="shared" si="18"/>
        <v>10266</v>
      </c>
      <c r="H197" s="168">
        <v>539782</v>
      </c>
      <c r="I197" s="201">
        <v>400</v>
      </c>
      <c r="J197" s="200">
        <f t="shared" si="19"/>
        <v>1349.4549999999999</v>
      </c>
      <c r="K197" s="168">
        <v>48165</v>
      </c>
      <c r="L197" s="202">
        <v>300</v>
      </c>
      <c r="M197" s="171">
        <f t="shared" si="20"/>
        <v>160.55000000000001</v>
      </c>
      <c r="N197" s="168">
        <v>3880</v>
      </c>
      <c r="O197" s="202">
        <v>300</v>
      </c>
      <c r="P197" s="203">
        <f t="shared" si="22"/>
        <v>12.933333333333334</v>
      </c>
      <c r="Q197" s="55"/>
      <c r="R197" s="55"/>
      <c r="S197" s="55"/>
      <c r="T197" s="55"/>
      <c r="U197" s="55"/>
      <c r="V197" s="55"/>
      <c r="W197" s="55"/>
      <c r="X197" s="55"/>
      <c r="Y197" s="55"/>
      <c r="Z197" s="55"/>
    </row>
    <row r="198" spans="1:26" ht="15.75" customHeight="1">
      <c r="A198" s="171" t="s">
        <v>303</v>
      </c>
      <c r="B198" s="199">
        <v>45093</v>
      </c>
      <c r="C198" s="171">
        <v>23</v>
      </c>
      <c r="D198" s="168">
        <v>1159480</v>
      </c>
      <c r="E198" s="168">
        <v>3366252</v>
      </c>
      <c r="F198" s="168">
        <f t="shared" si="21"/>
        <v>146358.78260869565</v>
      </c>
      <c r="G198" s="168">
        <f t="shared" si="18"/>
        <v>50412.17391304348</v>
      </c>
      <c r="H198" s="168">
        <v>7555051</v>
      </c>
      <c r="I198" s="201">
        <v>6000</v>
      </c>
      <c r="J198" s="200">
        <f t="shared" si="19"/>
        <v>1259.1751666666667</v>
      </c>
      <c r="K198" s="168">
        <v>1106844</v>
      </c>
      <c r="L198" s="202">
        <v>4000</v>
      </c>
      <c r="M198" s="203">
        <f t="shared" si="20"/>
        <v>276.71100000000001</v>
      </c>
      <c r="N198" s="168">
        <v>26232</v>
      </c>
      <c r="O198" s="202">
        <v>2000</v>
      </c>
      <c r="P198" s="203">
        <f t="shared" si="22"/>
        <v>13.116</v>
      </c>
      <c r="Q198" s="55"/>
      <c r="R198" s="55"/>
      <c r="S198" s="55"/>
      <c r="T198" s="55"/>
      <c r="U198" s="55"/>
      <c r="V198" s="55"/>
      <c r="W198" s="55"/>
      <c r="X198" s="55"/>
      <c r="Y198" s="55"/>
      <c r="Z198" s="55"/>
    </row>
    <row r="199" spans="1:26" ht="15.75" customHeight="1">
      <c r="A199" s="171" t="s">
        <v>101</v>
      </c>
      <c r="B199" s="199">
        <v>45124</v>
      </c>
      <c r="C199" s="171">
        <v>1</v>
      </c>
      <c r="D199" s="168">
        <v>161181</v>
      </c>
      <c r="E199" s="168">
        <v>185814</v>
      </c>
      <c r="F199" s="168">
        <f t="shared" si="21"/>
        <v>185814</v>
      </c>
      <c r="G199" s="168">
        <f t="shared" si="18"/>
        <v>161181</v>
      </c>
      <c r="H199" s="168">
        <v>627466</v>
      </c>
      <c r="I199" s="201">
        <v>500</v>
      </c>
      <c r="J199" s="200">
        <f t="shared" si="19"/>
        <v>1254.932</v>
      </c>
      <c r="K199" s="168">
        <v>161024</v>
      </c>
      <c r="L199" s="202">
        <v>500</v>
      </c>
      <c r="M199" s="203">
        <f t="shared" si="20"/>
        <v>322.048</v>
      </c>
      <c r="N199" s="171">
        <v>682</v>
      </c>
      <c r="O199" s="202">
        <v>0</v>
      </c>
      <c r="P199" s="203">
        <v>0</v>
      </c>
      <c r="Q199" s="55"/>
      <c r="R199" s="55"/>
      <c r="S199" s="55"/>
      <c r="T199" s="55"/>
      <c r="U199" s="55"/>
      <c r="V199" s="55"/>
      <c r="W199" s="55"/>
      <c r="X199" s="55"/>
      <c r="Y199" s="55"/>
      <c r="Z199" s="55"/>
    </row>
    <row r="200" spans="1:26" ht="15.75" customHeight="1">
      <c r="A200" s="171" t="s">
        <v>304</v>
      </c>
      <c r="B200" s="199">
        <v>45124</v>
      </c>
      <c r="C200" s="171">
        <v>1</v>
      </c>
      <c r="D200" s="168">
        <v>138805</v>
      </c>
      <c r="E200" s="168">
        <v>640730</v>
      </c>
      <c r="F200" s="168">
        <f t="shared" si="21"/>
        <v>640730</v>
      </c>
      <c r="G200" s="168">
        <f t="shared" si="18"/>
        <v>138805</v>
      </c>
      <c r="H200" s="168">
        <v>640116</v>
      </c>
      <c r="I200" s="201">
        <v>500</v>
      </c>
      <c r="J200" s="200">
        <f t="shared" si="19"/>
        <v>1280.232</v>
      </c>
      <c r="K200" s="168">
        <v>136024</v>
      </c>
      <c r="L200" s="202">
        <v>500</v>
      </c>
      <c r="M200" s="203">
        <f t="shared" si="20"/>
        <v>272.048</v>
      </c>
      <c r="N200" s="171">
        <v>714</v>
      </c>
      <c r="O200" s="202">
        <v>0</v>
      </c>
      <c r="P200" s="203">
        <v>0</v>
      </c>
      <c r="Q200" s="55"/>
      <c r="R200" s="55"/>
      <c r="S200" s="55"/>
      <c r="T200" s="55"/>
      <c r="U200" s="55"/>
      <c r="V200" s="55"/>
      <c r="W200" s="55"/>
      <c r="X200" s="55"/>
      <c r="Y200" s="55"/>
      <c r="Z200" s="55"/>
    </row>
    <row r="201" spans="1:26" ht="15.75" customHeight="1">
      <c r="A201" s="171" t="s">
        <v>305</v>
      </c>
      <c r="B201" s="199">
        <v>45112</v>
      </c>
      <c r="C201" s="171">
        <v>1</v>
      </c>
      <c r="D201" s="168">
        <v>24262</v>
      </c>
      <c r="E201" s="168">
        <v>40494</v>
      </c>
      <c r="F201" s="168">
        <f t="shared" si="21"/>
        <v>40494</v>
      </c>
      <c r="G201" s="168">
        <f t="shared" si="18"/>
        <v>24262</v>
      </c>
      <c r="H201" s="168">
        <v>3745303</v>
      </c>
      <c r="I201" s="201">
        <v>6050</v>
      </c>
      <c r="J201" s="200">
        <f t="shared" si="19"/>
        <v>619.05834710743807</v>
      </c>
      <c r="K201" s="168">
        <v>17343</v>
      </c>
      <c r="L201" s="202">
        <v>6050</v>
      </c>
      <c r="M201" s="203">
        <f t="shared" si="20"/>
        <v>2.866611570247934</v>
      </c>
      <c r="N201" s="168">
        <v>7246</v>
      </c>
      <c r="O201" s="202">
        <v>757.51</v>
      </c>
      <c r="P201" s="203">
        <f t="shared" ref="P201:P214" si="23">N201/O201</f>
        <v>9.5655502897651523</v>
      </c>
      <c r="Q201" s="55"/>
      <c r="R201" s="55"/>
      <c r="S201" s="55"/>
      <c r="T201" s="55"/>
      <c r="U201" s="55"/>
      <c r="V201" s="55"/>
      <c r="W201" s="55"/>
      <c r="X201" s="55"/>
      <c r="Y201" s="55"/>
      <c r="Z201" s="55"/>
    </row>
    <row r="202" spans="1:26" ht="15.75" customHeight="1">
      <c r="A202" s="171" t="s">
        <v>306</v>
      </c>
      <c r="B202" s="204" t="s">
        <v>307</v>
      </c>
      <c r="C202" s="171">
        <v>2</v>
      </c>
      <c r="D202" s="171">
        <v>385</v>
      </c>
      <c r="E202" s="168">
        <v>57643</v>
      </c>
      <c r="F202" s="168">
        <f t="shared" si="21"/>
        <v>28821.5</v>
      </c>
      <c r="G202" s="208">
        <f t="shared" si="18"/>
        <v>192.5</v>
      </c>
      <c r="H202" s="171">
        <v>0</v>
      </c>
      <c r="I202" s="201">
        <v>0</v>
      </c>
      <c r="J202" s="200">
        <v>0</v>
      </c>
      <c r="K202" s="171">
        <v>0</v>
      </c>
      <c r="L202" s="202">
        <v>0</v>
      </c>
      <c r="M202" s="203">
        <v>0</v>
      </c>
      <c r="N202" s="168">
        <v>0</v>
      </c>
      <c r="O202" s="202">
        <v>0</v>
      </c>
      <c r="P202" s="203">
        <v>0</v>
      </c>
      <c r="Q202" s="55"/>
      <c r="R202" s="55"/>
      <c r="S202" s="55"/>
      <c r="T202" s="55"/>
      <c r="U202" s="55"/>
      <c r="V202" s="55"/>
      <c r="W202" s="55"/>
      <c r="X202" s="55"/>
      <c r="Y202" s="55"/>
      <c r="Z202" s="55"/>
    </row>
    <row r="203" spans="1:26" ht="15" customHeight="1">
      <c r="A203" s="171" t="s">
        <v>308</v>
      </c>
      <c r="B203" s="199">
        <v>45117</v>
      </c>
      <c r="C203" s="171">
        <v>24</v>
      </c>
      <c r="D203" s="207">
        <v>68316</v>
      </c>
      <c r="E203" s="207">
        <v>2289678</v>
      </c>
      <c r="F203" s="207">
        <f t="shared" si="21"/>
        <v>95403.25</v>
      </c>
      <c r="G203" s="207">
        <f t="shared" si="18"/>
        <v>2846.5</v>
      </c>
      <c r="H203" s="207">
        <v>1396778</v>
      </c>
      <c r="I203" s="206">
        <v>1000</v>
      </c>
      <c r="J203" s="200">
        <f t="shared" si="19"/>
        <v>1396.778</v>
      </c>
      <c r="K203" s="207">
        <v>34223</v>
      </c>
      <c r="L203" s="202">
        <v>1000</v>
      </c>
      <c r="M203" s="203">
        <f t="shared" si="20"/>
        <v>34.222999999999999</v>
      </c>
      <c r="N203" s="207">
        <v>23004</v>
      </c>
      <c r="O203" s="202">
        <v>1000</v>
      </c>
      <c r="P203" s="203">
        <f t="shared" si="23"/>
        <v>23.004000000000001</v>
      </c>
    </row>
    <row r="204" spans="1:26" ht="15.75" customHeight="1">
      <c r="A204" s="171" t="s">
        <v>309</v>
      </c>
      <c r="B204" s="183">
        <v>45139</v>
      </c>
      <c r="C204" s="171">
        <v>10</v>
      </c>
      <c r="D204" s="168">
        <v>83078</v>
      </c>
      <c r="E204" s="168">
        <v>1238222</v>
      </c>
      <c r="F204" s="168">
        <f t="shared" si="21"/>
        <v>123822.2</v>
      </c>
      <c r="G204" s="168">
        <f t="shared" si="18"/>
        <v>8307.7999999999993</v>
      </c>
      <c r="H204" s="168">
        <v>625533</v>
      </c>
      <c r="I204" s="201">
        <v>500</v>
      </c>
      <c r="J204" s="200">
        <f t="shared" si="19"/>
        <v>1251.066</v>
      </c>
      <c r="K204" s="168">
        <v>73983</v>
      </c>
      <c r="L204" s="202">
        <v>500</v>
      </c>
      <c r="M204" s="203">
        <f t="shared" si="20"/>
        <v>147.96600000000001</v>
      </c>
      <c r="N204" s="171">
        <v>719</v>
      </c>
      <c r="O204" s="202">
        <v>0</v>
      </c>
      <c r="P204" s="203">
        <v>0</v>
      </c>
      <c r="Q204" s="55"/>
      <c r="R204" s="55"/>
      <c r="S204" s="55"/>
      <c r="T204" s="55"/>
      <c r="U204" s="55"/>
      <c r="V204" s="55"/>
      <c r="W204" s="55"/>
      <c r="X204" s="55"/>
      <c r="Y204" s="55"/>
      <c r="Z204" s="55"/>
    </row>
    <row r="205" spans="1:26" ht="15.75" customHeight="1">
      <c r="A205" s="171" t="s">
        <v>318</v>
      </c>
      <c r="B205" s="199">
        <v>45145</v>
      </c>
      <c r="C205" s="171">
        <v>22</v>
      </c>
      <c r="D205" s="168">
        <v>325626</v>
      </c>
      <c r="E205" s="168">
        <v>2396890</v>
      </c>
      <c r="F205" s="168">
        <f t="shared" si="21"/>
        <v>108949.54545454546</v>
      </c>
      <c r="G205" s="168">
        <f t="shared" si="18"/>
        <v>14801.181818181818</v>
      </c>
      <c r="H205" s="168">
        <v>3797166</v>
      </c>
      <c r="I205" s="201">
        <v>2000</v>
      </c>
      <c r="J205" s="200">
        <f t="shared" si="19"/>
        <v>1898.5830000000001</v>
      </c>
      <c r="K205" s="168">
        <v>290375</v>
      </c>
      <c r="L205" s="202">
        <v>2000</v>
      </c>
      <c r="M205" s="203">
        <f t="shared" si="20"/>
        <v>145.1875</v>
      </c>
      <c r="N205" s="168">
        <v>13249</v>
      </c>
      <c r="O205" s="202">
        <v>2000</v>
      </c>
      <c r="P205" s="203">
        <f t="shared" si="23"/>
        <v>6.6245000000000003</v>
      </c>
      <c r="Q205" s="55"/>
      <c r="R205" s="55"/>
      <c r="S205" s="55"/>
      <c r="T205" s="55"/>
      <c r="U205" s="55"/>
      <c r="V205" s="55"/>
      <c r="W205" s="55"/>
      <c r="X205" s="55"/>
      <c r="Y205" s="55"/>
      <c r="Z205" s="55"/>
    </row>
    <row r="206" spans="1:26" ht="15.75" customHeight="1">
      <c r="A206" s="171" t="s">
        <v>310</v>
      </c>
      <c r="B206" s="199">
        <v>45154</v>
      </c>
      <c r="C206" s="171">
        <v>22</v>
      </c>
      <c r="D206" s="168">
        <v>530491</v>
      </c>
      <c r="E206" s="168">
        <v>3158603</v>
      </c>
      <c r="F206" s="168">
        <f t="shared" si="21"/>
        <v>143572.86363636365</v>
      </c>
      <c r="G206" s="168">
        <f t="shared" si="18"/>
        <v>24113.227272727272</v>
      </c>
      <c r="H206" s="168">
        <v>3497191</v>
      </c>
      <c r="I206" s="201">
        <v>2722.4</v>
      </c>
      <c r="J206" s="200">
        <f t="shared" si="19"/>
        <v>1284.5985160152807</v>
      </c>
      <c r="K206" s="168">
        <v>485727</v>
      </c>
      <c r="L206" s="201">
        <v>1183.72</v>
      </c>
      <c r="M206" s="200">
        <f t="shared" si="20"/>
        <v>410.33943838069814</v>
      </c>
      <c r="N206" s="168">
        <v>24170</v>
      </c>
      <c r="O206" s="201">
        <v>1952.66</v>
      </c>
      <c r="P206" s="200">
        <f t="shared" si="23"/>
        <v>12.377986951133325</v>
      </c>
      <c r="Q206" s="55"/>
      <c r="R206" s="55"/>
      <c r="S206" s="55"/>
      <c r="T206" s="55"/>
      <c r="U206" s="55"/>
      <c r="V206" s="55"/>
      <c r="W206" s="55"/>
      <c r="X206" s="55"/>
      <c r="Y206" s="55"/>
      <c r="Z206" s="55"/>
    </row>
    <row r="207" spans="1:26" ht="15.75" customHeight="1">
      <c r="A207" s="171" t="s">
        <v>311</v>
      </c>
      <c r="B207" s="199">
        <v>45124</v>
      </c>
      <c r="C207" s="171">
        <v>10</v>
      </c>
      <c r="D207" s="168">
        <v>214714</v>
      </c>
      <c r="E207" s="168">
        <v>899973</v>
      </c>
      <c r="F207" s="168">
        <f t="shared" si="21"/>
        <v>89997.3</v>
      </c>
      <c r="G207" s="168">
        <f t="shared" si="18"/>
        <v>21471.4</v>
      </c>
      <c r="H207" s="168">
        <v>1655926</v>
      </c>
      <c r="I207" s="201">
        <v>1258</v>
      </c>
      <c r="J207" s="200">
        <f t="shared" si="19"/>
        <v>1316.3163751987281</v>
      </c>
      <c r="K207" s="168">
        <v>195182</v>
      </c>
      <c r="L207" s="202">
        <v>741.98</v>
      </c>
      <c r="M207" s="203">
        <f t="shared" si="20"/>
        <v>263.05560796786978</v>
      </c>
      <c r="N207" s="168">
        <v>11247</v>
      </c>
      <c r="O207" s="202">
        <v>1000</v>
      </c>
      <c r="P207" s="200">
        <f t="shared" si="23"/>
        <v>11.247</v>
      </c>
      <c r="Q207" s="55"/>
      <c r="R207" s="55"/>
      <c r="S207" s="55"/>
      <c r="T207" s="55"/>
      <c r="U207" s="55"/>
      <c r="V207" s="55"/>
      <c r="W207" s="55"/>
      <c r="X207" s="55"/>
      <c r="Y207" s="55"/>
      <c r="Z207" s="55"/>
    </row>
    <row r="208" spans="1:26" ht="15.75" customHeight="1">
      <c r="A208" s="171" t="s">
        <v>312</v>
      </c>
      <c r="B208" s="199">
        <v>45152</v>
      </c>
      <c r="C208" s="171">
        <v>16</v>
      </c>
      <c r="D208" s="168">
        <v>297289</v>
      </c>
      <c r="E208" s="168">
        <v>2350042</v>
      </c>
      <c r="F208" s="168">
        <f t="shared" si="21"/>
        <v>146877.625</v>
      </c>
      <c r="G208" s="168">
        <f t="shared" si="18"/>
        <v>18580.5625</v>
      </c>
      <c r="H208" s="168">
        <v>2540220</v>
      </c>
      <c r="I208" s="201">
        <v>2000</v>
      </c>
      <c r="J208" s="200">
        <f t="shared" si="19"/>
        <v>1270.1099999999999</v>
      </c>
      <c r="K208" s="168">
        <v>265900</v>
      </c>
      <c r="L208" s="202">
        <v>2000</v>
      </c>
      <c r="M208" s="171">
        <f t="shared" si="20"/>
        <v>132.94999999999999</v>
      </c>
      <c r="N208" s="168">
        <v>17656</v>
      </c>
      <c r="O208" s="202">
        <v>2000</v>
      </c>
      <c r="P208" s="203">
        <f t="shared" si="23"/>
        <v>8.8279999999999994</v>
      </c>
      <c r="Q208" s="55"/>
      <c r="R208" s="55"/>
      <c r="S208" s="55"/>
      <c r="T208" s="55"/>
      <c r="U208" s="55"/>
      <c r="V208" s="55"/>
      <c r="W208" s="55"/>
      <c r="X208" s="55"/>
      <c r="Y208" s="55"/>
      <c r="Z208" s="55"/>
    </row>
    <row r="209" spans="1:26" ht="15.75" customHeight="1">
      <c r="A209" s="171" t="s">
        <v>313</v>
      </c>
      <c r="B209" s="199">
        <v>45135</v>
      </c>
      <c r="C209" s="171">
        <v>20</v>
      </c>
      <c r="D209" s="168">
        <v>328209</v>
      </c>
      <c r="E209" s="168">
        <v>2206553</v>
      </c>
      <c r="F209" s="168">
        <f t="shared" si="21"/>
        <v>110327.65</v>
      </c>
      <c r="G209" s="168">
        <f t="shared" si="18"/>
        <v>16410.45</v>
      </c>
      <c r="H209" s="168">
        <v>1551287</v>
      </c>
      <c r="I209" s="201">
        <v>1000</v>
      </c>
      <c r="J209" s="200">
        <f t="shared" si="19"/>
        <v>1551.287</v>
      </c>
      <c r="K209" s="168">
        <v>313449</v>
      </c>
      <c r="L209" s="202">
        <v>1000</v>
      </c>
      <c r="M209" s="203">
        <f t="shared" si="20"/>
        <v>313.44900000000001</v>
      </c>
      <c r="N209" s="168">
        <v>10950</v>
      </c>
      <c r="O209" s="202">
        <v>1000</v>
      </c>
      <c r="P209" s="171">
        <f t="shared" si="23"/>
        <v>10.95</v>
      </c>
      <c r="Q209" s="55"/>
      <c r="R209" s="55"/>
      <c r="S209" s="55"/>
      <c r="T209" s="55"/>
      <c r="U209" s="55"/>
      <c r="V209" s="55"/>
      <c r="W209" s="55"/>
      <c r="X209" s="55"/>
      <c r="Y209" s="55"/>
      <c r="Z209" s="55"/>
    </row>
    <row r="210" spans="1:26" ht="15.75" customHeight="1">
      <c r="A210" s="171" t="s">
        <v>314</v>
      </c>
      <c r="B210" s="199">
        <v>45170</v>
      </c>
      <c r="C210" s="171">
        <v>16</v>
      </c>
      <c r="D210" s="168">
        <v>109877</v>
      </c>
      <c r="E210" s="168">
        <v>1860735</v>
      </c>
      <c r="F210" s="168">
        <f t="shared" si="21"/>
        <v>116295.9375</v>
      </c>
      <c r="G210" s="168">
        <f t="shared" si="18"/>
        <v>6867.3125</v>
      </c>
      <c r="H210" s="168">
        <v>653963</v>
      </c>
      <c r="I210" s="201">
        <v>512.1</v>
      </c>
      <c r="J210" s="200">
        <f t="shared" si="19"/>
        <v>1277.0220660027337</v>
      </c>
      <c r="K210" s="168">
        <v>91763</v>
      </c>
      <c r="L210" s="202">
        <v>536.54</v>
      </c>
      <c r="M210" s="203">
        <f t="shared" si="20"/>
        <v>171.0273232191449</v>
      </c>
      <c r="N210" s="168">
        <v>5356</v>
      </c>
      <c r="O210" s="202">
        <v>546.67999999999995</v>
      </c>
      <c r="P210" s="203">
        <f t="shared" si="23"/>
        <v>9.7973220165361834</v>
      </c>
      <c r="Q210" s="55"/>
      <c r="R210" s="55"/>
      <c r="S210" s="55"/>
      <c r="T210" s="55"/>
      <c r="U210" s="55"/>
      <c r="V210" s="55"/>
      <c r="W210" s="55"/>
      <c r="X210" s="55"/>
      <c r="Y210" s="55"/>
      <c r="Z210" s="55"/>
    </row>
    <row r="211" spans="1:26" ht="15.75" customHeight="1">
      <c r="A211" s="171" t="s">
        <v>315</v>
      </c>
      <c r="B211" s="199">
        <v>45177</v>
      </c>
      <c r="C211" s="171">
        <v>23</v>
      </c>
      <c r="D211" s="168">
        <v>767445</v>
      </c>
      <c r="E211" s="168">
        <v>3067452</v>
      </c>
      <c r="F211" s="168">
        <f t="shared" si="21"/>
        <v>133367.47826086957</v>
      </c>
      <c r="G211" s="168">
        <f t="shared" si="18"/>
        <v>33367.17391304348</v>
      </c>
      <c r="H211" s="168">
        <v>5169530</v>
      </c>
      <c r="I211" s="201">
        <v>7349</v>
      </c>
      <c r="J211" s="200">
        <f t="shared" si="19"/>
        <v>703.43312015240167</v>
      </c>
      <c r="K211" s="168">
        <v>737204</v>
      </c>
      <c r="L211" s="202">
        <v>2654.25</v>
      </c>
      <c r="M211" s="203">
        <f t="shared" si="20"/>
        <v>277.74474898747292</v>
      </c>
      <c r="N211" s="168">
        <v>10037</v>
      </c>
      <c r="O211" s="202">
        <v>2000</v>
      </c>
      <c r="P211" s="203">
        <f t="shared" si="23"/>
        <v>5.0185000000000004</v>
      </c>
      <c r="Q211" s="55"/>
      <c r="R211" s="55"/>
      <c r="S211" s="55"/>
      <c r="T211" s="55"/>
      <c r="U211" s="55"/>
      <c r="V211" s="55"/>
      <c r="W211" s="55"/>
      <c r="X211" s="55"/>
      <c r="Y211" s="55"/>
      <c r="Z211" s="55"/>
    </row>
    <row r="212" spans="1:26" ht="15.75" customHeight="1">
      <c r="A212" s="171" t="s">
        <v>316</v>
      </c>
      <c r="B212" s="199">
        <v>45155</v>
      </c>
      <c r="C212" s="171">
        <v>1</v>
      </c>
      <c r="D212" s="168">
        <v>68191</v>
      </c>
      <c r="E212" s="168">
        <v>1476730</v>
      </c>
      <c r="F212" s="168">
        <f t="shared" si="21"/>
        <v>1476730</v>
      </c>
      <c r="G212" s="168">
        <f t="shared" si="18"/>
        <v>68191</v>
      </c>
      <c r="H212" s="168">
        <v>282177</v>
      </c>
      <c r="I212" s="201">
        <v>250</v>
      </c>
      <c r="J212" s="200">
        <f t="shared" si="19"/>
        <v>1128.7080000000001</v>
      </c>
      <c r="K212" s="168">
        <v>66447</v>
      </c>
      <c r="L212" s="202">
        <v>250</v>
      </c>
      <c r="M212" s="203">
        <f t="shared" si="20"/>
        <v>265.78800000000001</v>
      </c>
      <c r="N212" s="171">
        <v>0</v>
      </c>
      <c r="O212" s="202">
        <v>0</v>
      </c>
      <c r="P212" s="203">
        <v>0</v>
      </c>
      <c r="Q212" s="55"/>
      <c r="R212" s="55"/>
      <c r="S212" s="55"/>
      <c r="T212" s="55"/>
      <c r="U212" s="55"/>
      <c r="V212" s="55"/>
      <c r="W212" s="55"/>
      <c r="X212" s="55"/>
      <c r="Y212" s="55"/>
      <c r="Z212" s="55"/>
    </row>
    <row r="213" spans="1:26" ht="15.75" customHeight="1">
      <c r="A213" s="171" t="s">
        <v>317</v>
      </c>
      <c r="B213" s="199">
        <v>45198</v>
      </c>
      <c r="C213" s="171">
        <v>4</v>
      </c>
      <c r="D213" s="168">
        <v>46076</v>
      </c>
      <c r="E213" s="168">
        <v>1462830</v>
      </c>
      <c r="F213" s="168">
        <f t="shared" si="21"/>
        <v>365707.5</v>
      </c>
      <c r="G213" s="168">
        <f t="shared" si="18"/>
        <v>11519</v>
      </c>
      <c r="H213" s="168">
        <v>186738</v>
      </c>
      <c r="I213" s="201">
        <v>250</v>
      </c>
      <c r="J213" s="200">
        <f t="shared" si="19"/>
        <v>746.952</v>
      </c>
      <c r="K213" s="168">
        <v>45546</v>
      </c>
      <c r="L213" s="202">
        <v>250</v>
      </c>
      <c r="M213" s="203">
        <f t="shared" si="20"/>
        <v>182.184</v>
      </c>
      <c r="N213" s="171">
        <v>0</v>
      </c>
      <c r="O213" s="202">
        <v>0</v>
      </c>
      <c r="P213" s="203">
        <v>0</v>
      </c>
      <c r="Q213" s="55"/>
      <c r="R213" s="55"/>
      <c r="S213" s="55"/>
      <c r="T213" s="55"/>
      <c r="U213" s="55"/>
      <c r="V213" s="55"/>
      <c r="W213" s="55"/>
      <c r="X213" s="55"/>
      <c r="Y213" s="55"/>
      <c r="Z213" s="55"/>
    </row>
    <row r="214" spans="1:26" ht="15.75" customHeight="1">
      <c r="A214" s="171" t="s">
        <v>319</v>
      </c>
      <c r="B214" s="199">
        <v>45174</v>
      </c>
      <c r="C214" s="171">
        <v>8</v>
      </c>
      <c r="D214" s="168">
        <v>518563</v>
      </c>
      <c r="E214" s="168">
        <v>758695</v>
      </c>
      <c r="F214" s="168">
        <f t="shared" si="21"/>
        <v>94836.875</v>
      </c>
      <c r="G214" s="168">
        <f t="shared" si="18"/>
        <v>64820.375</v>
      </c>
      <c r="H214" s="168">
        <v>2852381</v>
      </c>
      <c r="I214" s="201">
        <v>1000</v>
      </c>
      <c r="J214" s="200">
        <f t="shared" si="19"/>
        <v>2852.3809999999999</v>
      </c>
      <c r="K214" s="168">
        <v>497176</v>
      </c>
      <c r="L214" s="202">
        <v>1000</v>
      </c>
      <c r="M214" s="203">
        <f t="shared" si="20"/>
        <v>497.17599999999999</v>
      </c>
      <c r="N214" s="168">
        <v>18028</v>
      </c>
      <c r="O214" s="202">
        <v>1000</v>
      </c>
      <c r="P214" s="203">
        <f t="shared" si="23"/>
        <v>18.027999999999999</v>
      </c>
      <c r="Q214" s="55"/>
      <c r="R214" s="55"/>
      <c r="S214" s="55"/>
      <c r="T214" s="55"/>
      <c r="U214" s="55"/>
      <c r="V214" s="55"/>
      <c r="W214" s="55"/>
      <c r="X214" s="55"/>
      <c r="Y214" s="55"/>
      <c r="Z214" s="55"/>
    </row>
    <row r="215" spans="1:26" ht="15.75" customHeight="1">
      <c r="A215" s="171" t="s">
        <v>320</v>
      </c>
      <c r="B215" s="199">
        <v>45152</v>
      </c>
      <c r="C215" s="171">
        <v>8</v>
      </c>
      <c r="D215" s="168">
        <v>182487</v>
      </c>
      <c r="E215" s="168">
        <v>2671185</v>
      </c>
      <c r="F215" s="168">
        <f t="shared" si="21"/>
        <v>333898.125</v>
      </c>
      <c r="G215" s="168">
        <f t="shared" si="18"/>
        <v>22810.875</v>
      </c>
      <c r="H215" s="168">
        <v>688490</v>
      </c>
      <c r="I215" s="201">
        <v>500</v>
      </c>
      <c r="J215" s="200">
        <f t="shared" si="19"/>
        <v>1376.98</v>
      </c>
      <c r="K215" s="168">
        <v>171127</v>
      </c>
      <c r="L215" s="202">
        <v>1000</v>
      </c>
      <c r="M215" s="203">
        <f t="shared" si="20"/>
        <v>171.12700000000001</v>
      </c>
      <c r="N215" s="171">
        <v>117</v>
      </c>
      <c r="O215" s="202">
        <v>0</v>
      </c>
      <c r="P215" s="203">
        <v>0</v>
      </c>
      <c r="Q215" s="55"/>
      <c r="R215" s="55"/>
      <c r="S215" s="55"/>
      <c r="T215" s="55"/>
      <c r="U215" s="55"/>
      <c r="V215" s="55"/>
      <c r="W215" s="55"/>
      <c r="X215" s="55"/>
      <c r="Y215" s="55"/>
      <c r="Z215" s="55"/>
    </row>
    <row r="216" spans="1:26" ht="15.75" customHeight="1">
      <c r="A216" s="171" t="s">
        <v>321</v>
      </c>
      <c r="B216" s="199">
        <v>45185</v>
      </c>
      <c r="C216" s="171">
        <v>3</v>
      </c>
      <c r="D216" s="168">
        <v>131029</v>
      </c>
      <c r="E216" s="168">
        <v>766885</v>
      </c>
      <c r="F216" s="168">
        <f t="shared" si="21"/>
        <v>255628.33333333334</v>
      </c>
      <c r="G216" s="168">
        <f t="shared" si="18"/>
        <v>43676.333333333336</v>
      </c>
      <c r="H216" s="168">
        <v>512915</v>
      </c>
      <c r="I216" s="201">
        <v>500</v>
      </c>
      <c r="J216" s="200">
        <f t="shared" si="19"/>
        <v>1025.83</v>
      </c>
      <c r="K216" s="168">
        <v>128661</v>
      </c>
      <c r="L216" s="202">
        <v>500</v>
      </c>
      <c r="M216" s="203">
        <f t="shared" si="20"/>
        <v>257.322</v>
      </c>
      <c r="N216" s="171">
        <v>35</v>
      </c>
      <c r="O216" s="202">
        <v>0</v>
      </c>
      <c r="P216" s="203">
        <v>0</v>
      </c>
      <c r="Q216" s="55"/>
      <c r="R216" s="55"/>
      <c r="S216" s="55"/>
      <c r="T216" s="55"/>
      <c r="U216" s="55"/>
      <c r="V216" s="55"/>
      <c r="W216" s="55"/>
      <c r="X216" s="55"/>
      <c r="Y216" s="55"/>
      <c r="Z216" s="55"/>
    </row>
    <row r="217" spans="1:26" ht="15.75" customHeight="1">
      <c r="A217" s="171" t="s">
        <v>322</v>
      </c>
      <c r="B217" s="199">
        <v>45194</v>
      </c>
      <c r="C217" s="171">
        <v>2</v>
      </c>
      <c r="D217" s="168">
        <v>123116</v>
      </c>
      <c r="E217" s="168">
        <v>360333</v>
      </c>
      <c r="F217" s="168">
        <f t="shared" si="21"/>
        <v>180166.5</v>
      </c>
      <c r="G217" s="168">
        <f t="shared" si="18"/>
        <v>61558</v>
      </c>
      <c r="H217" s="168">
        <v>564865</v>
      </c>
      <c r="I217" s="201">
        <v>500</v>
      </c>
      <c r="J217" s="200">
        <f t="shared" si="19"/>
        <v>1129.73</v>
      </c>
      <c r="K217" s="168">
        <v>121889</v>
      </c>
      <c r="L217" s="202">
        <v>500</v>
      </c>
      <c r="M217" s="203">
        <f t="shared" si="20"/>
        <v>243.77799999999999</v>
      </c>
      <c r="N217" s="171">
        <v>130</v>
      </c>
      <c r="O217" s="202">
        <v>0</v>
      </c>
      <c r="P217" s="203">
        <v>0</v>
      </c>
      <c r="Q217" s="55"/>
      <c r="R217" s="55"/>
      <c r="S217" s="55"/>
      <c r="T217" s="55"/>
      <c r="U217" s="55"/>
      <c r="V217" s="55"/>
      <c r="W217" s="55"/>
      <c r="X217" s="55"/>
      <c r="Y217" s="55"/>
      <c r="Z217" s="55"/>
    </row>
    <row r="218" spans="1:26" ht="15.75" customHeight="1">
      <c r="A218" s="171" t="s">
        <v>323</v>
      </c>
      <c r="B218" s="199">
        <v>45017</v>
      </c>
      <c r="C218" s="171">
        <v>37</v>
      </c>
      <c r="D218" s="168">
        <v>445694</v>
      </c>
      <c r="E218" s="168">
        <v>23645817</v>
      </c>
      <c r="F218" s="168">
        <f t="shared" si="21"/>
        <v>639076.13513513515</v>
      </c>
      <c r="G218" s="168">
        <f t="shared" si="18"/>
        <v>12045.783783783783</v>
      </c>
      <c r="H218" s="168">
        <v>5065014</v>
      </c>
      <c r="I218" s="201">
        <v>5500</v>
      </c>
      <c r="J218" s="200">
        <f t="shared" si="19"/>
        <v>920.91163636363638</v>
      </c>
      <c r="K218" s="168">
        <v>315371</v>
      </c>
      <c r="L218" s="202">
        <v>3500</v>
      </c>
      <c r="M218" s="203">
        <f t="shared" si="20"/>
        <v>90.105999999999995</v>
      </c>
      <c r="N218" s="168">
        <v>92199</v>
      </c>
      <c r="O218" s="202">
        <v>6000</v>
      </c>
      <c r="P218" s="203">
        <f t="shared" ref="P218:P293" si="24">N218/O218</f>
        <v>15.3665</v>
      </c>
      <c r="Q218" s="55"/>
      <c r="R218" s="55"/>
      <c r="S218" s="55"/>
      <c r="T218" s="55"/>
      <c r="U218" s="55"/>
      <c r="V218" s="55"/>
      <c r="W218" s="55"/>
      <c r="X218" s="55"/>
      <c r="Y218" s="55"/>
      <c r="Z218" s="55"/>
    </row>
    <row r="219" spans="1:26" ht="15.75" customHeight="1">
      <c r="A219" s="171" t="s">
        <v>324</v>
      </c>
      <c r="B219" s="199">
        <v>45199</v>
      </c>
      <c r="C219" s="171">
        <v>2</v>
      </c>
      <c r="D219" s="168">
        <v>133001</v>
      </c>
      <c r="E219" s="168">
        <v>1035133</v>
      </c>
      <c r="F219" s="168">
        <f t="shared" si="21"/>
        <v>517566.5</v>
      </c>
      <c r="G219" s="168">
        <f t="shared" si="18"/>
        <v>66500.5</v>
      </c>
      <c r="H219" s="168">
        <v>514867</v>
      </c>
      <c r="I219" s="201">
        <v>500</v>
      </c>
      <c r="J219" s="200">
        <f t="shared" si="19"/>
        <v>1029.7339999999999</v>
      </c>
      <c r="K219" s="168">
        <v>131426</v>
      </c>
      <c r="L219" s="202">
        <v>250</v>
      </c>
      <c r="M219" s="203">
        <f t="shared" si="20"/>
        <v>525.70399999999995</v>
      </c>
      <c r="N219" s="171">
        <v>337</v>
      </c>
      <c r="O219" s="202">
        <v>0</v>
      </c>
      <c r="P219" s="203">
        <v>0</v>
      </c>
      <c r="Q219" s="55"/>
      <c r="R219" s="55"/>
      <c r="S219" s="55"/>
      <c r="T219" s="55"/>
      <c r="U219" s="55"/>
      <c r="V219" s="55"/>
      <c r="W219" s="55"/>
      <c r="X219" s="55"/>
      <c r="Y219" s="55"/>
      <c r="Z219" s="55"/>
    </row>
    <row r="220" spans="1:26" ht="15.75" customHeight="1">
      <c r="A220" s="171" t="s">
        <v>304</v>
      </c>
      <c r="B220" s="199">
        <v>45208</v>
      </c>
      <c r="C220" s="171">
        <v>4</v>
      </c>
      <c r="D220" s="168">
        <v>274539</v>
      </c>
      <c r="E220" s="168">
        <v>1533863</v>
      </c>
      <c r="F220" s="168">
        <f t="shared" si="21"/>
        <v>383465.75</v>
      </c>
      <c r="G220" s="168">
        <f t="shared" si="18"/>
        <v>68634.75</v>
      </c>
      <c r="H220" s="168">
        <v>1903665</v>
      </c>
      <c r="I220" s="201">
        <v>2500</v>
      </c>
      <c r="J220" s="200">
        <f t="shared" si="19"/>
        <v>761.46600000000001</v>
      </c>
      <c r="K220" s="168">
        <v>271977</v>
      </c>
      <c r="L220" s="202">
        <v>2500</v>
      </c>
      <c r="M220" s="203">
        <f t="shared" si="20"/>
        <v>108.7908</v>
      </c>
      <c r="N220" s="168">
        <v>1851</v>
      </c>
      <c r="O220" s="202">
        <v>0</v>
      </c>
      <c r="P220" s="203">
        <v>0</v>
      </c>
      <c r="Q220" s="55"/>
      <c r="R220" s="55"/>
      <c r="S220" s="55"/>
      <c r="T220" s="55"/>
      <c r="U220" s="55"/>
      <c r="V220" s="55"/>
      <c r="W220" s="55"/>
      <c r="X220" s="55"/>
      <c r="Y220" s="55"/>
      <c r="Z220" s="55"/>
    </row>
    <row r="221" spans="1:26" ht="15.75" customHeight="1">
      <c r="A221" s="171" t="s">
        <v>325</v>
      </c>
      <c r="B221" s="199">
        <v>45206</v>
      </c>
      <c r="C221" s="171">
        <v>45</v>
      </c>
      <c r="D221" s="168">
        <v>160130</v>
      </c>
      <c r="E221" s="168">
        <v>3693059</v>
      </c>
      <c r="F221" s="168">
        <f t="shared" si="21"/>
        <v>82067.977777777778</v>
      </c>
      <c r="G221" s="168">
        <f t="shared" si="18"/>
        <v>3558.4444444444443</v>
      </c>
      <c r="H221" s="168">
        <v>809469</v>
      </c>
      <c r="I221" s="201">
        <v>650</v>
      </c>
      <c r="J221" s="200">
        <f t="shared" si="19"/>
        <v>1245.3369230769231</v>
      </c>
      <c r="K221" s="168">
        <v>130645</v>
      </c>
      <c r="L221" s="202">
        <v>650</v>
      </c>
      <c r="M221" s="203">
        <f t="shared" si="20"/>
        <v>200.99230769230769</v>
      </c>
      <c r="N221" s="168">
        <v>8455</v>
      </c>
      <c r="O221" s="202">
        <v>650</v>
      </c>
      <c r="P221" s="203">
        <f t="shared" si="24"/>
        <v>13.007692307692308</v>
      </c>
      <c r="Q221" s="55"/>
      <c r="R221" s="55"/>
      <c r="S221" s="55"/>
      <c r="T221" s="55"/>
      <c r="U221" s="55"/>
      <c r="V221" s="55"/>
      <c r="W221" s="55"/>
      <c r="X221" s="55"/>
      <c r="Y221" s="55"/>
      <c r="Z221" s="55"/>
    </row>
    <row r="222" spans="1:26" ht="15.75" customHeight="1">
      <c r="A222" s="171" t="s">
        <v>326</v>
      </c>
      <c r="B222" s="199">
        <v>45215</v>
      </c>
      <c r="C222" s="171">
        <v>10</v>
      </c>
      <c r="D222" s="168">
        <v>48782</v>
      </c>
      <c r="E222" s="168">
        <v>1157795</v>
      </c>
      <c r="F222" s="168">
        <f t="shared" si="21"/>
        <v>115779.5</v>
      </c>
      <c r="G222" s="168">
        <f t="shared" si="18"/>
        <v>4878.2</v>
      </c>
      <c r="H222" s="168">
        <v>427965</v>
      </c>
      <c r="I222" s="201">
        <v>500</v>
      </c>
      <c r="J222" s="171">
        <f t="shared" si="19"/>
        <v>855.93</v>
      </c>
      <c r="K222" s="168">
        <v>35374</v>
      </c>
      <c r="L222" s="202">
        <v>500</v>
      </c>
      <c r="M222" s="171">
        <f t="shared" si="20"/>
        <v>70.748000000000005</v>
      </c>
      <c r="N222" s="171">
        <v>547</v>
      </c>
      <c r="O222" s="202">
        <v>0</v>
      </c>
      <c r="P222" s="203">
        <v>0</v>
      </c>
      <c r="Q222" s="55"/>
      <c r="R222" s="55"/>
      <c r="S222" s="55"/>
      <c r="T222" s="55"/>
      <c r="U222" s="55"/>
      <c r="V222" s="55"/>
      <c r="W222" s="55"/>
      <c r="X222" s="55"/>
      <c r="Y222" s="55"/>
      <c r="Z222" s="55"/>
    </row>
    <row r="223" spans="1:26" ht="15.75" customHeight="1">
      <c r="A223" s="171" t="s">
        <v>327</v>
      </c>
      <c r="B223" s="199">
        <v>45209</v>
      </c>
      <c r="C223" s="171">
        <v>12</v>
      </c>
      <c r="D223" s="168">
        <v>66278</v>
      </c>
      <c r="E223" s="168">
        <v>1392047</v>
      </c>
      <c r="F223" s="168">
        <f t="shared" si="21"/>
        <v>116003.91666666667</v>
      </c>
      <c r="G223" s="168">
        <f t="shared" si="18"/>
        <v>5523.166666666667</v>
      </c>
      <c r="H223" s="168">
        <v>449872</v>
      </c>
      <c r="I223" s="201">
        <v>500</v>
      </c>
      <c r="J223" s="203">
        <f t="shared" si="19"/>
        <v>899.74400000000003</v>
      </c>
      <c r="K223" s="168">
        <v>58973</v>
      </c>
      <c r="L223" s="202">
        <v>500</v>
      </c>
      <c r="M223" s="203">
        <f t="shared" si="20"/>
        <v>117.946</v>
      </c>
      <c r="N223" s="171">
        <v>761</v>
      </c>
      <c r="O223" s="202">
        <v>0</v>
      </c>
      <c r="P223" s="203">
        <v>0</v>
      </c>
      <c r="Q223" s="55"/>
      <c r="R223" s="55"/>
      <c r="S223" s="55"/>
      <c r="T223" s="55"/>
      <c r="U223" s="55"/>
      <c r="V223" s="55"/>
      <c r="W223" s="55"/>
      <c r="X223" s="55"/>
      <c r="Y223" s="55"/>
      <c r="Z223" s="55"/>
    </row>
    <row r="224" spans="1:26" ht="15.75" customHeight="1">
      <c r="A224" s="171" t="s">
        <v>328</v>
      </c>
      <c r="B224" s="199">
        <v>45232</v>
      </c>
      <c r="C224" s="171">
        <v>6</v>
      </c>
      <c r="D224" s="168">
        <v>29155</v>
      </c>
      <c r="E224" s="168">
        <v>2373852</v>
      </c>
      <c r="F224" s="168">
        <f t="shared" si="21"/>
        <v>395642</v>
      </c>
      <c r="G224" s="168">
        <f t="shared" si="18"/>
        <v>4859.166666666667</v>
      </c>
      <c r="H224" s="168">
        <v>481603</v>
      </c>
      <c r="I224" s="201">
        <v>1500</v>
      </c>
      <c r="J224" s="203">
        <f t="shared" si="19"/>
        <v>321.06866666666667</v>
      </c>
      <c r="K224" s="168">
        <v>15946</v>
      </c>
      <c r="L224" s="202">
        <v>1500</v>
      </c>
      <c r="M224" s="203">
        <f t="shared" si="20"/>
        <v>10.630666666666666</v>
      </c>
      <c r="N224" s="171">
        <v>212</v>
      </c>
      <c r="O224" s="202">
        <v>0</v>
      </c>
      <c r="P224" s="203">
        <v>0</v>
      </c>
      <c r="Q224" s="55"/>
      <c r="R224" s="55"/>
      <c r="S224" s="55"/>
      <c r="T224" s="55"/>
      <c r="U224" s="55"/>
      <c r="V224" s="55"/>
      <c r="W224" s="55"/>
      <c r="X224" s="55"/>
      <c r="Y224" s="55"/>
      <c r="Z224" s="55"/>
    </row>
    <row r="225" spans="1:26" ht="15.75" customHeight="1">
      <c r="A225" s="171" t="s">
        <v>329</v>
      </c>
      <c r="B225" s="199">
        <v>45222</v>
      </c>
      <c r="C225" s="171">
        <v>25</v>
      </c>
      <c r="D225" s="168">
        <v>186833</v>
      </c>
      <c r="E225" s="168">
        <v>1722551</v>
      </c>
      <c r="F225" s="168">
        <f t="shared" si="21"/>
        <v>68902.039999999994</v>
      </c>
      <c r="G225" s="168">
        <f t="shared" si="18"/>
        <v>7473.32</v>
      </c>
      <c r="H225" s="168">
        <v>1227135</v>
      </c>
      <c r="I225" s="201">
        <v>1000</v>
      </c>
      <c r="J225" s="200">
        <f t="shared" si="19"/>
        <v>1227.135</v>
      </c>
      <c r="K225" s="168">
        <v>165453</v>
      </c>
      <c r="L225" s="200">
        <v>1000</v>
      </c>
      <c r="M225" s="200">
        <f t="shared" si="20"/>
        <v>165.453</v>
      </c>
      <c r="N225" s="168">
        <v>10376</v>
      </c>
      <c r="O225" s="202">
        <v>1000</v>
      </c>
      <c r="P225" s="203">
        <f t="shared" si="24"/>
        <v>10.375999999999999</v>
      </c>
      <c r="Q225" s="55"/>
      <c r="R225" s="55"/>
      <c r="S225" s="55"/>
      <c r="T225" s="55"/>
      <c r="U225" s="55"/>
      <c r="V225" s="55"/>
      <c r="W225" s="55"/>
      <c r="X225" s="55"/>
      <c r="Y225" s="55"/>
      <c r="Z225" s="55"/>
    </row>
    <row r="226" spans="1:26" ht="15.75" customHeight="1">
      <c r="A226" s="171" t="s">
        <v>330</v>
      </c>
      <c r="B226" s="199">
        <v>45194</v>
      </c>
      <c r="C226" s="171">
        <v>23</v>
      </c>
      <c r="D226" s="168">
        <v>852160</v>
      </c>
      <c r="E226" s="168">
        <v>3985413</v>
      </c>
      <c r="F226" s="168">
        <f t="shared" si="21"/>
        <v>173278.82608695651</v>
      </c>
      <c r="G226" s="168">
        <f t="shared" si="18"/>
        <v>37050.434782608696</v>
      </c>
      <c r="H226" s="168">
        <v>4068099</v>
      </c>
      <c r="I226" s="201">
        <v>4000</v>
      </c>
      <c r="J226" s="200">
        <f t="shared" si="19"/>
        <v>1017.02475</v>
      </c>
      <c r="K226" s="168">
        <v>791356</v>
      </c>
      <c r="L226" s="202">
        <v>4000</v>
      </c>
      <c r="M226" s="203">
        <f t="shared" si="20"/>
        <v>197.839</v>
      </c>
      <c r="N226" s="168">
        <v>26739</v>
      </c>
      <c r="O226" s="202">
        <v>4000</v>
      </c>
      <c r="P226" s="203">
        <f t="shared" si="24"/>
        <v>6.6847500000000002</v>
      </c>
      <c r="Q226" s="55"/>
      <c r="R226" s="55"/>
      <c r="S226" s="55"/>
      <c r="T226" s="55"/>
      <c r="U226" s="55"/>
      <c r="V226" s="55"/>
      <c r="W226" s="55"/>
      <c r="X226" s="55"/>
      <c r="Y226" s="55"/>
      <c r="Z226" s="55"/>
    </row>
    <row r="227" spans="1:26" ht="15.75" customHeight="1">
      <c r="A227" s="171" t="s">
        <v>331</v>
      </c>
      <c r="B227" s="199">
        <v>45265</v>
      </c>
      <c r="C227" s="171">
        <v>1</v>
      </c>
      <c r="D227" s="171">
        <v>157</v>
      </c>
      <c r="E227" s="168">
        <v>21419</v>
      </c>
      <c r="F227" s="168">
        <f t="shared" si="21"/>
        <v>21419</v>
      </c>
      <c r="G227" s="171">
        <f t="shared" si="18"/>
        <v>157</v>
      </c>
      <c r="H227" s="171">
        <v>0</v>
      </c>
      <c r="I227" s="201">
        <v>0</v>
      </c>
      <c r="J227" s="200">
        <v>0</v>
      </c>
      <c r="K227" s="171">
        <v>0</v>
      </c>
      <c r="L227" s="202">
        <v>0</v>
      </c>
      <c r="M227" s="203">
        <v>0</v>
      </c>
      <c r="N227" s="171">
        <v>4</v>
      </c>
      <c r="O227" s="202">
        <v>0</v>
      </c>
      <c r="P227" s="203">
        <v>0</v>
      </c>
      <c r="Q227" s="55"/>
      <c r="R227" s="55"/>
      <c r="S227" s="55"/>
      <c r="T227" s="55"/>
      <c r="U227" s="55"/>
      <c r="V227" s="55"/>
      <c r="W227" s="55"/>
      <c r="X227" s="55"/>
      <c r="Y227" s="55"/>
      <c r="Z227" s="55"/>
    </row>
    <row r="228" spans="1:26" ht="15.75" customHeight="1">
      <c r="A228" s="171" t="s">
        <v>332</v>
      </c>
      <c r="B228" s="199">
        <v>45245</v>
      </c>
      <c r="C228" s="171">
        <v>3</v>
      </c>
      <c r="D228" s="168">
        <v>747364</v>
      </c>
      <c r="E228" s="216">
        <v>3004501</v>
      </c>
      <c r="F228" s="168">
        <f t="shared" si="21"/>
        <v>1001500.3333333334</v>
      </c>
      <c r="G228" s="168">
        <f t="shared" si="18"/>
        <v>249121.33333333334</v>
      </c>
      <c r="H228" s="168">
        <v>2091524</v>
      </c>
      <c r="I228" s="201">
        <v>2750</v>
      </c>
      <c r="J228" s="200">
        <f t="shared" si="19"/>
        <v>760.55418181818186</v>
      </c>
      <c r="K228" s="168">
        <v>726132</v>
      </c>
      <c r="L228" s="202">
        <v>2750</v>
      </c>
      <c r="M228" s="203">
        <f t="shared" si="20"/>
        <v>264.048</v>
      </c>
      <c r="N228" s="168">
        <v>2923</v>
      </c>
      <c r="O228" s="202">
        <v>0</v>
      </c>
      <c r="P228" s="203">
        <v>0</v>
      </c>
      <c r="Q228" s="55"/>
      <c r="R228" s="55"/>
      <c r="S228" s="55"/>
      <c r="T228" s="55"/>
      <c r="U228" s="55"/>
      <c r="V228" s="55"/>
      <c r="W228" s="55"/>
      <c r="X228" s="55"/>
      <c r="Y228" s="55"/>
      <c r="Z228" s="55"/>
    </row>
    <row r="229" spans="1:26" ht="15.75" customHeight="1">
      <c r="A229" s="171" t="s">
        <v>333</v>
      </c>
      <c r="B229" s="199">
        <v>45175</v>
      </c>
      <c r="C229" s="171">
        <v>5</v>
      </c>
      <c r="D229" s="168">
        <v>67913</v>
      </c>
      <c r="E229" s="216">
        <v>338826</v>
      </c>
      <c r="F229" s="168">
        <f t="shared" si="21"/>
        <v>67765.2</v>
      </c>
      <c r="G229" s="168">
        <f t="shared" si="18"/>
        <v>13582.6</v>
      </c>
      <c r="H229" s="168">
        <v>908640</v>
      </c>
      <c r="I229" s="201">
        <v>1000</v>
      </c>
      <c r="J229" s="171">
        <f t="shared" si="19"/>
        <v>908.64</v>
      </c>
      <c r="K229" s="168">
        <v>55555</v>
      </c>
      <c r="L229" s="202">
        <v>500</v>
      </c>
      <c r="M229" s="171">
        <f t="shared" si="20"/>
        <v>111.11</v>
      </c>
      <c r="N229" s="168">
        <v>6518</v>
      </c>
      <c r="O229" s="202">
        <v>500</v>
      </c>
      <c r="P229" s="203">
        <f t="shared" si="24"/>
        <v>13.036</v>
      </c>
      <c r="Q229" s="55"/>
      <c r="R229" s="55"/>
      <c r="S229" s="55"/>
      <c r="T229" s="55"/>
      <c r="U229" s="55"/>
      <c r="V229" s="55"/>
      <c r="W229" s="55"/>
      <c r="X229" s="55"/>
      <c r="Y229" s="55"/>
      <c r="Z229" s="55"/>
    </row>
    <row r="230" spans="1:26" ht="15.75" customHeight="1">
      <c r="A230" s="171" t="s">
        <v>255</v>
      </c>
      <c r="B230" s="199">
        <v>45231</v>
      </c>
      <c r="C230" s="171">
        <v>10</v>
      </c>
      <c r="D230" s="168">
        <v>113862</v>
      </c>
      <c r="E230" s="216">
        <v>4115792</v>
      </c>
      <c r="F230" s="168">
        <f t="shared" si="21"/>
        <v>411579.2</v>
      </c>
      <c r="G230" s="168">
        <f t="shared" si="18"/>
        <v>11386.2</v>
      </c>
      <c r="H230" s="168">
        <v>409522</v>
      </c>
      <c r="I230" s="201">
        <v>500</v>
      </c>
      <c r="J230" s="203">
        <f t="shared" si="19"/>
        <v>819.04399999999998</v>
      </c>
      <c r="K230" s="168">
        <v>63672</v>
      </c>
      <c r="L230" s="202">
        <v>500</v>
      </c>
      <c r="M230" s="203">
        <f t="shared" si="20"/>
        <v>127.34399999999999</v>
      </c>
      <c r="N230" s="171">
        <v>513</v>
      </c>
      <c r="O230" s="202">
        <v>0</v>
      </c>
      <c r="P230" s="203">
        <v>0</v>
      </c>
      <c r="Q230" s="55"/>
      <c r="R230" s="55"/>
      <c r="S230" s="55"/>
      <c r="T230" s="55"/>
      <c r="U230" s="55"/>
      <c r="V230" s="55"/>
      <c r="W230" s="55"/>
      <c r="X230" s="55"/>
      <c r="Y230" s="55"/>
      <c r="Z230" s="55"/>
    </row>
    <row r="231" spans="1:26" ht="15.75" customHeight="1">
      <c r="A231" s="171" t="s">
        <v>334</v>
      </c>
      <c r="B231" s="199">
        <v>45243</v>
      </c>
      <c r="C231" s="171">
        <v>10</v>
      </c>
      <c r="D231" s="168">
        <v>7619</v>
      </c>
      <c r="E231" s="168">
        <v>1649251</v>
      </c>
      <c r="F231" s="168">
        <f t="shared" si="21"/>
        <v>164925.1</v>
      </c>
      <c r="G231" s="208">
        <f t="shared" si="18"/>
        <v>761.9</v>
      </c>
      <c r="H231" s="171">
        <v>0</v>
      </c>
      <c r="I231" s="201">
        <v>0</v>
      </c>
      <c r="J231" s="203">
        <v>0</v>
      </c>
      <c r="K231" s="171">
        <v>0</v>
      </c>
      <c r="L231" s="202">
        <v>0</v>
      </c>
      <c r="M231" s="171">
        <v>0</v>
      </c>
      <c r="N231" s="171">
        <v>140</v>
      </c>
      <c r="O231" s="202">
        <v>0</v>
      </c>
      <c r="P231" s="203">
        <v>0</v>
      </c>
      <c r="Q231" s="55"/>
      <c r="R231" s="55"/>
      <c r="S231" s="55"/>
      <c r="T231" s="55"/>
      <c r="U231" s="55"/>
      <c r="V231" s="55"/>
      <c r="W231" s="55"/>
      <c r="X231" s="55"/>
      <c r="Y231" s="55"/>
      <c r="Z231" s="55"/>
    </row>
    <row r="232" spans="1:26" ht="15.75" customHeight="1">
      <c r="A232" s="171" t="s">
        <v>335</v>
      </c>
      <c r="B232" s="199">
        <v>45231</v>
      </c>
      <c r="C232" s="171">
        <v>10</v>
      </c>
      <c r="D232" s="168">
        <v>8640</v>
      </c>
      <c r="E232" s="216">
        <v>1555940</v>
      </c>
      <c r="F232" s="168">
        <f t="shared" si="21"/>
        <v>155594</v>
      </c>
      <c r="G232" s="171">
        <f t="shared" si="18"/>
        <v>864</v>
      </c>
      <c r="H232" s="168">
        <v>339532</v>
      </c>
      <c r="I232" s="201">
        <v>500</v>
      </c>
      <c r="J232" s="203">
        <f t="shared" si="19"/>
        <v>679.06399999999996</v>
      </c>
      <c r="K232" s="168">
        <v>3893</v>
      </c>
      <c r="L232" s="202">
        <v>500</v>
      </c>
      <c r="M232" s="203">
        <f t="shared" si="20"/>
        <v>7.7859999999999996</v>
      </c>
      <c r="N232" s="171">
        <v>640</v>
      </c>
      <c r="O232" s="202">
        <v>0</v>
      </c>
      <c r="P232" s="203">
        <v>0</v>
      </c>
      <c r="Q232" s="55"/>
      <c r="R232" s="55"/>
      <c r="S232" s="55"/>
      <c r="T232" s="55"/>
      <c r="U232" s="55"/>
      <c r="V232" s="55"/>
      <c r="W232" s="55"/>
      <c r="X232" s="55"/>
      <c r="Y232" s="55"/>
      <c r="Z232" s="55"/>
    </row>
    <row r="233" spans="1:26" ht="15.75" customHeight="1">
      <c r="A233" s="171" t="s">
        <v>336</v>
      </c>
      <c r="B233" s="199">
        <v>45245</v>
      </c>
      <c r="C233" s="171">
        <v>46</v>
      </c>
      <c r="D233" s="168">
        <v>852313</v>
      </c>
      <c r="E233" s="216">
        <v>5680496</v>
      </c>
      <c r="F233" s="168">
        <f t="shared" si="21"/>
        <v>123489.04347826086</v>
      </c>
      <c r="G233" s="168">
        <f t="shared" si="18"/>
        <v>18528.543478260868</v>
      </c>
      <c r="H233" s="168">
        <v>4004810</v>
      </c>
      <c r="I233" s="201">
        <v>4000</v>
      </c>
      <c r="J233" s="203">
        <f t="shared" si="19"/>
        <v>1001.2025</v>
      </c>
      <c r="K233" s="168">
        <v>800874</v>
      </c>
      <c r="L233" s="202">
        <v>4000</v>
      </c>
      <c r="M233" s="203">
        <f t="shared" si="20"/>
        <v>200.21850000000001</v>
      </c>
      <c r="N233" s="168">
        <v>21659</v>
      </c>
      <c r="O233" s="202">
        <v>2000</v>
      </c>
      <c r="P233" s="203">
        <f t="shared" si="24"/>
        <v>10.829499999999999</v>
      </c>
      <c r="Q233" s="55"/>
      <c r="R233" s="55"/>
      <c r="S233" s="55"/>
      <c r="T233" s="55"/>
      <c r="U233" s="55"/>
      <c r="V233" s="55"/>
      <c r="W233" s="55"/>
      <c r="X233" s="55"/>
      <c r="Y233" s="55"/>
      <c r="Z233" s="55"/>
    </row>
    <row r="234" spans="1:26" ht="15.75" customHeight="1">
      <c r="A234" s="171" t="s">
        <v>337</v>
      </c>
      <c r="B234" s="199">
        <v>45233</v>
      </c>
      <c r="C234" s="171">
        <v>45</v>
      </c>
      <c r="D234" s="168">
        <v>260673</v>
      </c>
      <c r="E234" s="216">
        <v>4238740</v>
      </c>
      <c r="F234" s="168">
        <f t="shared" si="21"/>
        <v>94194.222222222219</v>
      </c>
      <c r="G234" s="168">
        <f t="shared" si="18"/>
        <v>5792.7333333333336</v>
      </c>
      <c r="H234" s="168">
        <v>3850267</v>
      </c>
      <c r="I234" s="201">
        <v>5773.44</v>
      </c>
      <c r="J234" s="203">
        <f t="shared" si="19"/>
        <v>666.89304816539186</v>
      </c>
      <c r="K234" s="168">
        <v>198314</v>
      </c>
      <c r="L234" s="202">
        <v>1471.34</v>
      </c>
      <c r="M234" s="203">
        <f t="shared" ref="M234:M293" si="25">K234/L234</f>
        <v>134.78461810322563</v>
      </c>
      <c r="N234" s="168">
        <v>23409</v>
      </c>
      <c r="O234" s="202">
        <v>2928.17</v>
      </c>
      <c r="P234" s="203">
        <f t="shared" si="24"/>
        <v>7.9944128926940712</v>
      </c>
      <c r="Q234" s="55"/>
      <c r="R234" s="55"/>
      <c r="S234" s="55"/>
      <c r="T234" s="55"/>
      <c r="U234" s="55"/>
      <c r="V234" s="55"/>
      <c r="W234" s="55"/>
      <c r="X234" s="55"/>
      <c r="Y234" s="55"/>
      <c r="Z234" s="55"/>
    </row>
    <row r="235" spans="1:26" ht="15.75" customHeight="1">
      <c r="A235" s="171" t="s">
        <v>338</v>
      </c>
      <c r="B235" s="199">
        <v>45237</v>
      </c>
      <c r="C235" s="171">
        <v>45</v>
      </c>
      <c r="D235" s="168">
        <v>610434</v>
      </c>
      <c r="E235" s="216">
        <v>7146160</v>
      </c>
      <c r="F235" s="168">
        <f t="shared" si="21"/>
        <v>158803.55555555556</v>
      </c>
      <c r="G235" s="168">
        <f t="shared" si="18"/>
        <v>13565.2</v>
      </c>
      <c r="H235" s="168">
        <v>3887525</v>
      </c>
      <c r="I235" s="201">
        <v>5000</v>
      </c>
      <c r="J235" s="203">
        <f t="shared" si="19"/>
        <v>777.505</v>
      </c>
      <c r="K235" s="207">
        <v>571794</v>
      </c>
      <c r="L235" s="202">
        <v>5000</v>
      </c>
      <c r="M235" s="203">
        <f t="shared" si="25"/>
        <v>114.3588</v>
      </c>
      <c r="N235" s="171">
        <v>807</v>
      </c>
      <c r="O235" s="202">
        <v>0</v>
      </c>
      <c r="P235" s="203">
        <v>0</v>
      </c>
      <c r="Q235" s="55"/>
      <c r="R235" s="55"/>
      <c r="S235" s="55"/>
      <c r="T235" s="55"/>
      <c r="U235" s="55"/>
      <c r="V235" s="55"/>
      <c r="W235" s="55"/>
      <c r="X235" s="55"/>
      <c r="Y235" s="55"/>
      <c r="Z235" s="55"/>
    </row>
    <row r="236" spans="1:26" ht="15.75" customHeight="1">
      <c r="A236" s="171" t="s">
        <v>339</v>
      </c>
      <c r="B236" s="199">
        <v>45140</v>
      </c>
      <c r="C236" s="171">
        <v>10</v>
      </c>
      <c r="D236" s="168">
        <v>100740</v>
      </c>
      <c r="E236" s="216">
        <v>1339497</v>
      </c>
      <c r="F236" s="168">
        <f t="shared" si="21"/>
        <v>133949.70000000001</v>
      </c>
      <c r="G236" s="168">
        <f t="shared" si="18"/>
        <v>10074</v>
      </c>
      <c r="H236" s="168">
        <v>1702334</v>
      </c>
      <c r="I236" s="201">
        <v>1235</v>
      </c>
      <c r="J236" s="200">
        <f t="shared" ref="J236:J293" si="26">H236/I236</f>
        <v>1378.4080971659919</v>
      </c>
      <c r="K236" s="168">
        <v>79573</v>
      </c>
      <c r="L236" s="202">
        <v>650</v>
      </c>
      <c r="M236" s="171">
        <f t="shared" si="25"/>
        <v>122.42</v>
      </c>
      <c r="N236" s="168">
        <v>9652</v>
      </c>
      <c r="O236" s="202">
        <v>650</v>
      </c>
      <c r="P236" s="203">
        <f t="shared" si="24"/>
        <v>14.849230769230768</v>
      </c>
      <c r="Q236" s="55"/>
      <c r="R236" s="55"/>
      <c r="S236" s="55"/>
      <c r="T236" s="55"/>
      <c r="U236" s="55"/>
      <c r="V236" s="55"/>
      <c r="W236" s="55"/>
      <c r="X236" s="55"/>
      <c r="Y236" s="55"/>
      <c r="Z236" s="55"/>
    </row>
    <row r="237" spans="1:26" ht="15.75" customHeight="1">
      <c r="A237" s="171" t="s">
        <v>340</v>
      </c>
      <c r="B237" s="199">
        <v>45268</v>
      </c>
      <c r="C237" s="171">
        <v>5</v>
      </c>
      <c r="D237" s="168">
        <v>38853</v>
      </c>
      <c r="E237" s="216">
        <v>1047971</v>
      </c>
      <c r="F237" s="168">
        <f t="shared" si="21"/>
        <v>209594.2</v>
      </c>
      <c r="G237" s="168">
        <f t="shared" si="18"/>
        <v>7770.6</v>
      </c>
      <c r="H237" s="168">
        <v>624617</v>
      </c>
      <c r="I237" s="201">
        <v>500</v>
      </c>
      <c r="J237" s="200">
        <f t="shared" si="26"/>
        <v>1249.2339999999999</v>
      </c>
      <c r="K237" s="168">
        <v>31823</v>
      </c>
      <c r="L237" s="202">
        <v>250</v>
      </c>
      <c r="M237" s="203">
        <f t="shared" si="25"/>
        <v>127.292</v>
      </c>
      <c r="N237" s="168">
        <v>4253</v>
      </c>
      <c r="O237" s="202">
        <v>250</v>
      </c>
      <c r="P237" s="203">
        <f t="shared" si="24"/>
        <v>17.012</v>
      </c>
      <c r="Q237" s="55"/>
      <c r="R237" s="55"/>
      <c r="S237" s="55"/>
      <c r="T237" s="55"/>
      <c r="U237" s="55"/>
      <c r="V237" s="55"/>
      <c r="W237" s="55"/>
      <c r="X237" s="55"/>
      <c r="Y237" s="55"/>
      <c r="Z237" s="55"/>
    </row>
    <row r="238" spans="1:26" ht="15.75" customHeight="1">
      <c r="A238" s="171" t="s">
        <v>341</v>
      </c>
      <c r="B238" s="199">
        <v>45235</v>
      </c>
      <c r="C238" s="171">
        <v>5</v>
      </c>
      <c r="D238" s="168">
        <v>6725</v>
      </c>
      <c r="E238" s="216">
        <v>543478</v>
      </c>
      <c r="F238" s="168">
        <f t="shared" si="21"/>
        <v>108695.6</v>
      </c>
      <c r="G238" s="168">
        <f t="shared" si="18"/>
        <v>1345</v>
      </c>
      <c r="H238" s="168">
        <v>204615</v>
      </c>
      <c r="I238" s="201">
        <v>200</v>
      </c>
      <c r="J238" s="200">
        <f t="shared" si="26"/>
        <v>1023.075</v>
      </c>
      <c r="K238" s="168">
        <v>3054</v>
      </c>
      <c r="L238" s="202">
        <v>200</v>
      </c>
      <c r="M238" s="171">
        <f t="shared" si="25"/>
        <v>15.27</v>
      </c>
      <c r="N238" s="168">
        <v>2964</v>
      </c>
      <c r="O238" s="202">
        <v>200</v>
      </c>
      <c r="P238" s="171">
        <f t="shared" si="24"/>
        <v>14.82</v>
      </c>
      <c r="Q238" s="55"/>
      <c r="R238" s="55"/>
      <c r="S238" s="55"/>
      <c r="T238" s="55"/>
      <c r="U238" s="55"/>
      <c r="V238" s="55"/>
      <c r="W238" s="55"/>
      <c r="X238" s="55"/>
      <c r="Y238" s="55"/>
      <c r="Z238" s="55"/>
    </row>
    <row r="239" spans="1:26" ht="15.75" customHeight="1">
      <c r="A239" s="171" t="s">
        <v>342</v>
      </c>
      <c r="B239" s="199">
        <v>45231</v>
      </c>
      <c r="C239" s="171">
        <v>20</v>
      </c>
      <c r="D239" s="168">
        <v>149321</v>
      </c>
      <c r="E239" s="216">
        <v>2095040</v>
      </c>
      <c r="F239" s="168">
        <f t="shared" si="21"/>
        <v>104752</v>
      </c>
      <c r="G239" s="168">
        <f t="shared" si="18"/>
        <v>7466.05</v>
      </c>
      <c r="H239" s="168">
        <v>853248</v>
      </c>
      <c r="I239" s="201">
        <v>800</v>
      </c>
      <c r="J239" s="200">
        <f t="shared" si="26"/>
        <v>1066.56</v>
      </c>
      <c r="K239" s="168">
        <v>137356</v>
      </c>
      <c r="L239" s="202">
        <v>800</v>
      </c>
      <c r="M239" s="203">
        <f t="shared" si="25"/>
        <v>171.69499999999999</v>
      </c>
      <c r="N239" s="168">
        <v>6961</v>
      </c>
      <c r="O239" s="202">
        <v>800</v>
      </c>
      <c r="P239" s="203">
        <f t="shared" si="24"/>
        <v>8.7012499999999999</v>
      </c>
      <c r="Q239" s="55" t="s">
        <v>343</v>
      </c>
      <c r="R239" s="55"/>
      <c r="S239" s="55"/>
      <c r="T239" s="55"/>
      <c r="U239" s="55"/>
      <c r="V239" s="55"/>
      <c r="W239" s="55"/>
      <c r="X239" s="55"/>
      <c r="Y239" s="55"/>
      <c r="Z239" s="55"/>
    </row>
    <row r="240" spans="1:26" ht="15.75" customHeight="1">
      <c r="A240" s="171" t="s">
        <v>344</v>
      </c>
      <c r="B240" s="199">
        <v>45241</v>
      </c>
      <c r="C240" s="171">
        <v>20</v>
      </c>
      <c r="D240" s="216">
        <v>478177</v>
      </c>
      <c r="E240" s="216">
        <v>2703114</v>
      </c>
      <c r="F240" s="168">
        <f t="shared" si="21"/>
        <v>135155.70000000001</v>
      </c>
      <c r="G240" s="168">
        <f t="shared" si="18"/>
        <v>23908.85</v>
      </c>
      <c r="H240" s="168">
        <v>1945304</v>
      </c>
      <c r="I240" s="201">
        <v>2000</v>
      </c>
      <c r="J240" s="203">
        <f t="shared" si="26"/>
        <v>972.65200000000004</v>
      </c>
      <c r="K240" s="168">
        <v>449588</v>
      </c>
      <c r="L240" s="202">
        <v>2000</v>
      </c>
      <c r="M240" s="203">
        <f t="shared" si="25"/>
        <v>224.79400000000001</v>
      </c>
      <c r="N240" s="168">
        <v>15285</v>
      </c>
      <c r="O240" s="202">
        <v>2000</v>
      </c>
      <c r="P240" s="203">
        <f t="shared" si="24"/>
        <v>7.6425000000000001</v>
      </c>
      <c r="Q240" s="55"/>
      <c r="R240" s="55"/>
      <c r="S240" s="55"/>
      <c r="T240" s="55"/>
      <c r="U240" s="55"/>
      <c r="V240" s="55"/>
      <c r="W240" s="55"/>
      <c r="X240" s="55"/>
      <c r="Y240" s="55"/>
      <c r="Z240" s="55"/>
    </row>
    <row r="241" spans="1:26" ht="15.75" customHeight="1">
      <c r="A241" s="171" t="s">
        <v>345</v>
      </c>
      <c r="B241" s="199">
        <v>45274</v>
      </c>
      <c r="C241" s="171">
        <v>3</v>
      </c>
      <c r="D241" s="168">
        <v>128425</v>
      </c>
      <c r="E241" s="216">
        <v>1999379</v>
      </c>
      <c r="F241" s="168">
        <f t="shared" si="21"/>
        <v>666459.66666666663</v>
      </c>
      <c r="G241" s="168">
        <f t="shared" si="18"/>
        <v>42808.333333333336</v>
      </c>
      <c r="H241" s="168">
        <v>524740</v>
      </c>
      <c r="I241" s="201">
        <v>500</v>
      </c>
      <c r="J241" s="200">
        <f t="shared" si="26"/>
        <v>1049.48</v>
      </c>
      <c r="K241" s="168">
        <v>124783</v>
      </c>
      <c r="L241" s="202">
        <v>500</v>
      </c>
      <c r="M241" s="203">
        <f t="shared" si="25"/>
        <v>249.566</v>
      </c>
      <c r="N241" s="171">
        <v>429</v>
      </c>
      <c r="O241" s="202">
        <v>0</v>
      </c>
      <c r="P241" s="203">
        <v>0</v>
      </c>
      <c r="Q241" s="55"/>
      <c r="R241" s="55"/>
      <c r="S241" s="55"/>
      <c r="T241" s="55"/>
      <c r="U241" s="55"/>
      <c r="V241" s="55"/>
      <c r="W241" s="55"/>
      <c r="X241" s="55"/>
      <c r="Y241" s="55"/>
      <c r="Z241" s="55"/>
    </row>
    <row r="242" spans="1:26" ht="15.75" customHeight="1">
      <c r="A242" s="171" t="s">
        <v>346</v>
      </c>
      <c r="B242" s="199">
        <v>45649</v>
      </c>
      <c r="C242" s="171">
        <v>3</v>
      </c>
      <c r="D242" s="168">
        <v>175919</v>
      </c>
      <c r="E242" s="216">
        <v>1040018</v>
      </c>
      <c r="F242" s="168">
        <f t="shared" si="21"/>
        <v>346672.66666666669</v>
      </c>
      <c r="G242" s="168">
        <f t="shared" si="18"/>
        <v>58639.666666666664</v>
      </c>
      <c r="H242" s="168">
        <v>761316</v>
      </c>
      <c r="I242" s="201">
        <v>500</v>
      </c>
      <c r="J242" s="200">
        <f t="shared" si="26"/>
        <v>1522.6320000000001</v>
      </c>
      <c r="K242" s="168">
        <v>175919</v>
      </c>
      <c r="L242" s="202">
        <v>500</v>
      </c>
      <c r="M242" s="203">
        <f t="shared" si="25"/>
        <v>351.83800000000002</v>
      </c>
      <c r="N242" s="171">
        <v>795</v>
      </c>
      <c r="O242" s="202">
        <v>0</v>
      </c>
      <c r="P242" s="203">
        <v>0</v>
      </c>
      <c r="Q242" s="55"/>
      <c r="R242" s="55"/>
      <c r="S242" s="55"/>
      <c r="T242" s="55"/>
      <c r="U242" s="55"/>
      <c r="V242" s="55"/>
      <c r="W242" s="55"/>
      <c r="X242" s="55"/>
      <c r="Y242" s="55"/>
      <c r="Z242" s="55"/>
    </row>
    <row r="243" spans="1:26" ht="15.75" customHeight="1">
      <c r="A243" s="171" t="s">
        <v>347</v>
      </c>
      <c r="B243" s="199">
        <v>45278</v>
      </c>
      <c r="C243" s="171">
        <v>1</v>
      </c>
      <c r="D243" s="168">
        <v>255365</v>
      </c>
      <c r="E243" s="168">
        <v>867127</v>
      </c>
      <c r="F243" s="168">
        <f t="shared" si="21"/>
        <v>867127</v>
      </c>
      <c r="G243" s="168">
        <f t="shared" si="18"/>
        <v>255365</v>
      </c>
      <c r="H243" s="168">
        <v>814537</v>
      </c>
      <c r="I243" s="201">
        <v>500</v>
      </c>
      <c r="J243" s="200">
        <f t="shared" si="26"/>
        <v>1629.0740000000001</v>
      </c>
      <c r="K243" s="168">
        <v>254821</v>
      </c>
      <c r="L243" s="202">
        <v>500</v>
      </c>
      <c r="M243" s="203">
        <f t="shared" si="25"/>
        <v>509.642</v>
      </c>
      <c r="N243" s="168">
        <v>4316</v>
      </c>
      <c r="O243" s="202">
        <v>500</v>
      </c>
      <c r="P243" s="203">
        <f t="shared" si="24"/>
        <v>8.6319999999999997</v>
      </c>
      <c r="Q243" s="55"/>
      <c r="R243" s="55"/>
      <c r="S243" s="55"/>
      <c r="T243" s="55"/>
      <c r="U243" s="55"/>
      <c r="V243" s="55"/>
      <c r="W243" s="55"/>
      <c r="X243" s="55"/>
      <c r="Y243" s="55"/>
      <c r="Z243" s="55"/>
    </row>
    <row r="244" spans="1:26" ht="15.75" customHeight="1">
      <c r="A244" s="171" t="s">
        <v>348</v>
      </c>
      <c r="B244" s="199">
        <v>45257</v>
      </c>
      <c r="C244" s="171">
        <v>23</v>
      </c>
      <c r="D244" s="168">
        <v>205990</v>
      </c>
      <c r="E244" s="216">
        <v>4429991</v>
      </c>
      <c r="F244" s="168">
        <f t="shared" si="21"/>
        <v>192608.30434782608</v>
      </c>
      <c r="G244" s="168">
        <f t="shared" si="18"/>
        <v>8956.0869565217399</v>
      </c>
      <c r="H244" s="168">
        <v>4009737</v>
      </c>
      <c r="I244" s="201">
        <v>6000</v>
      </c>
      <c r="J244" s="203">
        <f t="shared" si="26"/>
        <v>668.28949999999998</v>
      </c>
      <c r="K244" s="168">
        <v>174989</v>
      </c>
      <c r="L244" s="202">
        <v>4000</v>
      </c>
      <c r="M244" s="203">
        <f t="shared" si="25"/>
        <v>43.747250000000001</v>
      </c>
      <c r="N244" s="168">
        <v>16580</v>
      </c>
      <c r="O244" s="202">
        <v>2000</v>
      </c>
      <c r="P244" s="217">
        <f t="shared" si="24"/>
        <v>8.2899999999999991</v>
      </c>
      <c r="Q244" s="55"/>
      <c r="R244" s="55"/>
      <c r="S244" s="55"/>
      <c r="T244" s="55"/>
      <c r="U244" s="55"/>
      <c r="V244" s="55"/>
      <c r="W244" s="55"/>
      <c r="X244" s="55"/>
      <c r="Y244" s="55"/>
      <c r="Z244" s="55"/>
    </row>
    <row r="245" spans="1:26" ht="15.75" customHeight="1">
      <c r="A245" s="171" t="s">
        <v>349</v>
      </c>
      <c r="B245" s="199">
        <v>45232</v>
      </c>
      <c r="C245" s="171">
        <v>30</v>
      </c>
      <c r="D245" s="168">
        <v>293118</v>
      </c>
      <c r="E245" s="216">
        <v>1755929</v>
      </c>
      <c r="F245" s="168">
        <f t="shared" si="21"/>
        <v>58530.966666666667</v>
      </c>
      <c r="G245" s="168">
        <f t="shared" si="18"/>
        <v>9770.6</v>
      </c>
      <c r="H245" s="168">
        <v>2155820</v>
      </c>
      <c r="I245" s="201">
        <v>3000</v>
      </c>
      <c r="J245" s="203">
        <f t="shared" si="26"/>
        <v>718.60666666666668</v>
      </c>
      <c r="K245" s="168">
        <v>280565</v>
      </c>
      <c r="L245" s="202">
        <v>3000</v>
      </c>
      <c r="M245" s="203">
        <f t="shared" si="25"/>
        <v>93.521666666666661</v>
      </c>
      <c r="N245" s="171">
        <v>200</v>
      </c>
      <c r="O245" s="202">
        <v>0</v>
      </c>
      <c r="P245" s="203">
        <v>0</v>
      </c>
      <c r="Q245" s="55"/>
      <c r="R245" s="55"/>
      <c r="S245" s="55"/>
      <c r="T245" s="55"/>
      <c r="U245" s="55"/>
      <c r="V245" s="55"/>
      <c r="W245" s="55"/>
      <c r="X245" s="55"/>
      <c r="Y245" s="55"/>
      <c r="Z245" s="55"/>
    </row>
    <row r="246" spans="1:26" ht="15.75" customHeight="1">
      <c r="A246" s="171" t="s">
        <v>350</v>
      </c>
      <c r="B246" s="199">
        <v>45245</v>
      </c>
      <c r="C246" s="171">
        <v>10</v>
      </c>
      <c r="D246" s="168">
        <v>113674</v>
      </c>
      <c r="E246" s="216">
        <v>832684</v>
      </c>
      <c r="F246" s="168">
        <f t="shared" si="21"/>
        <v>83268.399999999994</v>
      </c>
      <c r="G246" s="168">
        <f t="shared" si="18"/>
        <v>11367.4</v>
      </c>
      <c r="H246" s="168">
        <v>492343</v>
      </c>
      <c r="I246" s="201">
        <v>500</v>
      </c>
      <c r="J246" s="203">
        <f t="shared" si="26"/>
        <v>984.68600000000004</v>
      </c>
      <c r="K246" s="168">
        <v>103858</v>
      </c>
      <c r="L246" s="202">
        <v>500</v>
      </c>
      <c r="M246" s="203">
        <f t="shared" si="25"/>
        <v>207.71600000000001</v>
      </c>
      <c r="N246" s="171">
        <v>884</v>
      </c>
      <c r="O246" s="202">
        <v>0</v>
      </c>
      <c r="P246" s="203">
        <v>0</v>
      </c>
      <c r="Q246" s="55"/>
      <c r="R246" s="55"/>
      <c r="S246" s="55"/>
      <c r="T246" s="55"/>
      <c r="U246" s="55"/>
      <c r="V246" s="55"/>
      <c r="W246" s="55"/>
      <c r="X246" s="55"/>
      <c r="Y246" s="55"/>
      <c r="Z246" s="55"/>
    </row>
    <row r="247" spans="1:26" ht="15.75" customHeight="1">
      <c r="A247" s="171" t="s">
        <v>351</v>
      </c>
      <c r="B247" s="199">
        <v>45240</v>
      </c>
      <c r="C247" s="171">
        <v>15</v>
      </c>
      <c r="D247" s="168">
        <v>121169</v>
      </c>
      <c r="E247" s="216">
        <v>4530664</v>
      </c>
      <c r="F247" s="168">
        <f t="shared" si="21"/>
        <v>302044.26666666666</v>
      </c>
      <c r="G247" s="168">
        <f t="shared" si="18"/>
        <v>8077.9333333333334</v>
      </c>
      <c r="H247" s="168">
        <v>868418</v>
      </c>
      <c r="I247" s="201">
        <v>1000</v>
      </c>
      <c r="J247" s="203">
        <f t="shared" si="26"/>
        <v>868.41800000000001</v>
      </c>
      <c r="K247" s="168">
        <v>84165</v>
      </c>
      <c r="L247" s="202">
        <v>1000</v>
      </c>
      <c r="M247" s="203">
        <f t="shared" si="25"/>
        <v>84.165000000000006</v>
      </c>
      <c r="N247" s="168">
        <v>6091</v>
      </c>
      <c r="O247" s="202">
        <v>1000</v>
      </c>
      <c r="P247" s="203">
        <f t="shared" si="24"/>
        <v>6.0910000000000002</v>
      </c>
      <c r="Q247" s="55"/>
      <c r="R247" s="55"/>
      <c r="S247" s="55"/>
      <c r="T247" s="55"/>
      <c r="U247" s="55"/>
      <c r="V247" s="55"/>
      <c r="W247" s="55"/>
      <c r="X247" s="55"/>
      <c r="Y247" s="55"/>
      <c r="Z247" s="55"/>
    </row>
    <row r="248" spans="1:26" ht="15.75" customHeight="1">
      <c r="A248" s="171" t="s">
        <v>352</v>
      </c>
      <c r="B248" s="199">
        <v>45259</v>
      </c>
      <c r="C248" s="168">
        <v>20</v>
      </c>
      <c r="D248" s="168">
        <v>221818</v>
      </c>
      <c r="E248" s="168">
        <v>2411584</v>
      </c>
      <c r="F248" s="168">
        <f t="shared" si="21"/>
        <v>120579.2</v>
      </c>
      <c r="G248" s="168">
        <f t="shared" si="18"/>
        <v>11090.9</v>
      </c>
      <c r="H248" s="168">
        <v>1875788</v>
      </c>
      <c r="I248" s="201">
        <v>750</v>
      </c>
      <c r="J248" s="218">
        <f t="shared" si="26"/>
        <v>2501.0506666666665</v>
      </c>
      <c r="K248" s="168">
        <v>205509</v>
      </c>
      <c r="L248" s="202">
        <v>750</v>
      </c>
      <c r="M248" s="203">
        <f t="shared" si="25"/>
        <v>274.012</v>
      </c>
      <c r="N248" s="168">
        <v>9057</v>
      </c>
      <c r="O248" s="202">
        <v>500</v>
      </c>
      <c r="P248" s="203">
        <f t="shared" si="24"/>
        <v>18.114000000000001</v>
      </c>
      <c r="Q248" s="55"/>
      <c r="R248" s="55"/>
      <c r="S248" s="55"/>
      <c r="T248" s="55"/>
      <c r="U248" s="55"/>
      <c r="V248" s="55"/>
      <c r="W248" s="55"/>
      <c r="X248" s="55"/>
      <c r="Y248" s="55"/>
      <c r="Z248" s="55"/>
    </row>
    <row r="249" spans="1:26" ht="15.75" customHeight="1">
      <c r="A249" s="171" t="s">
        <v>353</v>
      </c>
      <c r="B249" s="199">
        <v>45273</v>
      </c>
      <c r="C249" s="171">
        <v>10</v>
      </c>
      <c r="D249" s="168">
        <v>97430</v>
      </c>
      <c r="E249" s="216">
        <v>1742235</v>
      </c>
      <c r="F249" s="168">
        <f t="shared" si="21"/>
        <v>174223.5</v>
      </c>
      <c r="G249" s="168">
        <f t="shared" si="18"/>
        <v>9743</v>
      </c>
      <c r="H249" s="168">
        <v>422804</v>
      </c>
      <c r="I249" s="201">
        <v>500</v>
      </c>
      <c r="J249" s="203">
        <f t="shared" si="26"/>
        <v>845.60799999999995</v>
      </c>
      <c r="K249" s="168">
        <v>92058</v>
      </c>
      <c r="L249" s="202">
        <v>500</v>
      </c>
      <c r="M249" s="203">
        <f t="shared" si="25"/>
        <v>184.11600000000001</v>
      </c>
      <c r="N249" s="171">
        <v>717</v>
      </c>
      <c r="O249" s="202">
        <v>0</v>
      </c>
      <c r="P249" s="203">
        <v>0</v>
      </c>
      <c r="Q249" s="55"/>
      <c r="R249" s="55"/>
      <c r="S249" s="55"/>
      <c r="T249" s="55"/>
      <c r="U249" s="55"/>
      <c r="V249" s="55"/>
      <c r="W249" s="55"/>
      <c r="X249" s="55"/>
      <c r="Y249" s="55"/>
      <c r="Z249" s="55"/>
    </row>
    <row r="250" spans="1:26" ht="15.75" customHeight="1">
      <c r="A250" s="171" t="s">
        <v>354</v>
      </c>
      <c r="B250" s="199">
        <v>45230</v>
      </c>
      <c r="C250" s="171">
        <v>22</v>
      </c>
      <c r="D250" s="168">
        <v>459277</v>
      </c>
      <c r="E250" s="216">
        <v>2503408</v>
      </c>
      <c r="F250" s="168">
        <f t="shared" si="21"/>
        <v>113791.27272727272</v>
      </c>
      <c r="G250" s="168">
        <f t="shared" si="18"/>
        <v>20876.227272727272</v>
      </c>
      <c r="H250" s="168">
        <v>2146296</v>
      </c>
      <c r="I250" s="201">
        <v>2000</v>
      </c>
      <c r="J250" s="200">
        <f t="shared" si="26"/>
        <v>1073.1479999999999</v>
      </c>
      <c r="K250" s="168">
        <v>427903</v>
      </c>
      <c r="L250" s="202">
        <v>2000</v>
      </c>
      <c r="M250" s="203">
        <f t="shared" si="25"/>
        <v>213.95150000000001</v>
      </c>
      <c r="N250" s="168">
        <v>6579</v>
      </c>
      <c r="O250" s="202">
        <v>2000</v>
      </c>
      <c r="P250" s="217">
        <f t="shared" si="24"/>
        <v>3.2894999999999999</v>
      </c>
      <c r="Q250" s="55"/>
      <c r="R250" s="55"/>
      <c r="S250" s="55"/>
      <c r="T250" s="55"/>
      <c r="U250" s="55"/>
      <c r="V250" s="55"/>
      <c r="W250" s="55"/>
      <c r="X250" s="55"/>
      <c r="Y250" s="55"/>
      <c r="Z250" s="55"/>
    </row>
    <row r="251" spans="1:26" ht="15.75" customHeight="1">
      <c r="A251" s="171" t="s">
        <v>355</v>
      </c>
      <c r="B251" s="199">
        <v>45299</v>
      </c>
      <c r="C251" s="171">
        <v>18</v>
      </c>
      <c r="D251" s="168">
        <v>746183</v>
      </c>
      <c r="E251" s="168">
        <v>1466106</v>
      </c>
      <c r="F251" s="168">
        <f t="shared" si="21"/>
        <v>81450.333333333328</v>
      </c>
      <c r="G251" s="168">
        <f t="shared" si="18"/>
        <v>41454.611111111109</v>
      </c>
      <c r="H251" s="168">
        <v>3266692</v>
      </c>
      <c r="I251" s="201">
        <v>2000</v>
      </c>
      <c r="J251" s="200">
        <f t="shared" si="26"/>
        <v>1633.346</v>
      </c>
      <c r="K251" s="168">
        <v>715528</v>
      </c>
      <c r="L251" s="202">
        <v>2000</v>
      </c>
      <c r="M251" s="203">
        <f t="shared" si="25"/>
        <v>357.76400000000001</v>
      </c>
      <c r="N251" s="168">
        <v>18128</v>
      </c>
      <c r="O251" s="202">
        <v>1000</v>
      </c>
      <c r="P251" s="217">
        <f t="shared" si="24"/>
        <v>18.128</v>
      </c>
      <c r="Q251" s="55"/>
      <c r="R251" s="55"/>
      <c r="S251" s="55"/>
      <c r="T251" s="55"/>
      <c r="U251" s="55"/>
      <c r="V251" s="55"/>
      <c r="W251" s="55"/>
      <c r="X251" s="55"/>
      <c r="Y251" s="55"/>
      <c r="Z251" s="55"/>
    </row>
    <row r="252" spans="1:26" ht="15.75" customHeight="1">
      <c r="A252" s="171" t="s">
        <v>356</v>
      </c>
      <c r="B252" s="199">
        <v>45308</v>
      </c>
      <c r="C252" s="171">
        <v>8</v>
      </c>
      <c r="D252" s="168">
        <v>53559</v>
      </c>
      <c r="E252" s="216">
        <v>1204302</v>
      </c>
      <c r="F252" s="168">
        <f t="shared" si="21"/>
        <v>150537.75</v>
      </c>
      <c r="G252" s="168">
        <f t="shared" si="18"/>
        <v>6694.875</v>
      </c>
      <c r="H252" s="168">
        <v>646218</v>
      </c>
      <c r="I252" s="201">
        <v>500</v>
      </c>
      <c r="J252" s="200">
        <f t="shared" si="26"/>
        <v>1292.4359999999999</v>
      </c>
      <c r="K252" s="168">
        <v>41943</v>
      </c>
      <c r="L252" s="202">
        <v>500</v>
      </c>
      <c r="M252" s="203">
        <f t="shared" si="25"/>
        <v>83.885999999999996</v>
      </c>
      <c r="N252" s="168">
        <v>5227</v>
      </c>
      <c r="O252" s="202">
        <v>500</v>
      </c>
      <c r="P252" s="203">
        <f t="shared" si="24"/>
        <v>10.454000000000001</v>
      </c>
      <c r="Q252" s="55"/>
      <c r="R252" s="55"/>
      <c r="S252" s="55"/>
      <c r="T252" s="55"/>
      <c r="U252" s="55"/>
      <c r="V252" s="55"/>
      <c r="W252" s="55"/>
      <c r="X252" s="55"/>
      <c r="Y252" s="55"/>
      <c r="Z252" s="55"/>
    </row>
    <row r="253" spans="1:26" ht="15.75" customHeight="1">
      <c r="A253" s="171" t="s">
        <v>357</v>
      </c>
      <c r="B253" s="199">
        <v>45306</v>
      </c>
      <c r="C253" s="171">
        <v>10</v>
      </c>
      <c r="D253" s="168">
        <v>299748</v>
      </c>
      <c r="E253" s="168">
        <v>2653012</v>
      </c>
      <c r="F253" s="168">
        <f t="shared" si="21"/>
        <v>265301.2</v>
      </c>
      <c r="G253" s="168">
        <f t="shared" si="18"/>
        <v>29974.799999999999</v>
      </c>
      <c r="H253" s="168">
        <v>1614157</v>
      </c>
      <c r="I253" s="201">
        <v>1500</v>
      </c>
      <c r="J253" s="200">
        <f t="shared" si="26"/>
        <v>1076.1046666666666</v>
      </c>
      <c r="K253" s="168">
        <v>291861</v>
      </c>
      <c r="L253" s="202">
        <v>1500</v>
      </c>
      <c r="M253" s="203">
        <f t="shared" si="25"/>
        <v>194.57400000000001</v>
      </c>
      <c r="N253" s="171">
        <v>205</v>
      </c>
      <c r="O253" s="202">
        <v>0</v>
      </c>
      <c r="P253" s="203">
        <v>0</v>
      </c>
      <c r="Q253" s="55"/>
      <c r="R253" s="55"/>
      <c r="S253" s="55"/>
      <c r="T253" s="55"/>
      <c r="U253" s="55"/>
      <c r="V253" s="55"/>
      <c r="W253" s="55"/>
      <c r="X253" s="55"/>
      <c r="Y253" s="55"/>
      <c r="Z253" s="55"/>
    </row>
    <row r="254" spans="1:26" ht="15.75" customHeight="1">
      <c r="A254" s="171" t="s">
        <v>358</v>
      </c>
      <c r="B254" s="199">
        <v>45320</v>
      </c>
      <c r="C254" s="171">
        <v>6</v>
      </c>
      <c r="D254" s="168">
        <v>160883</v>
      </c>
      <c r="E254" s="216">
        <v>2901432</v>
      </c>
      <c r="F254" s="168">
        <f t="shared" si="21"/>
        <v>483572</v>
      </c>
      <c r="G254" s="168">
        <f t="shared" si="18"/>
        <v>26813.833333333332</v>
      </c>
      <c r="H254" s="168">
        <v>383197</v>
      </c>
      <c r="I254" s="201">
        <v>250</v>
      </c>
      <c r="J254" s="200">
        <f t="shared" si="26"/>
        <v>1532.788</v>
      </c>
      <c r="K254" s="168">
        <v>32049</v>
      </c>
      <c r="L254" s="202">
        <v>250</v>
      </c>
      <c r="M254" s="203">
        <f t="shared" si="25"/>
        <v>128.196</v>
      </c>
      <c r="N254" s="168">
        <v>1411</v>
      </c>
      <c r="O254" s="202">
        <v>500</v>
      </c>
      <c r="P254" s="203">
        <f t="shared" si="24"/>
        <v>2.8220000000000001</v>
      </c>
      <c r="Q254" s="55"/>
      <c r="R254" s="55"/>
      <c r="S254" s="55"/>
      <c r="T254" s="55"/>
      <c r="U254" s="55"/>
      <c r="V254" s="55"/>
      <c r="W254" s="55"/>
      <c r="X254" s="55"/>
      <c r="Y254" s="55"/>
      <c r="Z254" s="55"/>
    </row>
    <row r="255" spans="1:26" ht="15.75" customHeight="1">
      <c r="A255" s="171" t="s">
        <v>359</v>
      </c>
      <c r="B255" s="199">
        <v>45299</v>
      </c>
      <c r="C255" s="171">
        <v>3</v>
      </c>
      <c r="D255" s="168">
        <v>3782539</v>
      </c>
      <c r="E255" s="216">
        <v>489938</v>
      </c>
      <c r="F255" s="168">
        <f t="shared" si="21"/>
        <v>163312.66666666666</v>
      </c>
      <c r="G255" s="168">
        <f t="shared" si="18"/>
        <v>1260846.3333333333</v>
      </c>
      <c r="H255" s="168">
        <v>39409136</v>
      </c>
      <c r="I255" s="201">
        <v>28000</v>
      </c>
      <c r="J255" s="200">
        <f t="shared" si="26"/>
        <v>1407.469142857143</v>
      </c>
      <c r="K255" s="168">
        <v>3640189</v>
      </c>
      <c r="L255" s="202">
        <v>28000</v>
      </c>
      <c r="M255" s="203">
        <f t="shared" si="25"/>
        <v>130.00675000000001</v>
      </c>
      <c r="N255" s="168">
        <v>138477</v>
      </c>
      <c r="O255" s="202">
        <v>28000</v>
      </c>
      <c r="P255" s="203">
        <f t="shared" si="24"/>
        <v>4.9456071428571429</v>
      </c>
      <c r="Q255" s="55"/>
      <c r="R255" s="55"/>
      <c r="S255" s="55"/>
      <c r="T255" s="55"/>
      <c r="U255" s="55"/>
      <c r="V255" s="55"/>
      <c r="W255" s="55"/>
      <c r="X255" s="55"/>
      <c r="Y255" s="55"/>
      <c r="Z255" s="55"/>
    </row>
    <row r="256" spans="1:26" ht="15.75" customHeight="1">
      <c r="A256" s="171" t="s">
        <v>360</v>
      </c>
      <c r="B256" s="199">
        <v>45306</v>
      </c>
      <c r="C256" s="171">
        <v>27</v>
      </c>
      <c r="D256" s="168">
        <v>164829</v>
      </c>
      <c r="E256" s="216">
        <v>3511763</v>
      </c>
      <c r="F256" s="168">
        <f t="shared" si="21"/>
        <v>130065.29629629629</v>
      </c>
      <c r="G256" s="168">
        <f t="shared" si="18"/>
        <v>6104.7777777777774</v>
      </c>
      <c r="H256" s="168">
        <v>931553</v>
      </c>
      <c r="I256" s="201">
        <v>1000</v>
      </c>
      <c r="J256" s="203">
        <f t="shared" si="26"/>
        <v>931.553</v>
      </c>
      <c r="K256" s="168">
        <v>132919</v>
      </c>
      <c r="L256" s="202">
        <v>1000</v>
      </c>
      <c r="M256" s="203">
        <f t="shared" si="25"/>
        <v>132.91900000000001</v>
      </c>
      <c r="N256" s="168">
        <v>7863</v>
      </c>
      <c r="O256" s="202">
        <v>1000</v>
      </c>
      <c r="P256" s="203">
        <f t="shared" si="24"/>
        <v>7.8630000000000004</v>
      </c>
      <c r="Q256" s="55"/>
      <c r="R256" s="55"/>
      <c r="S256" s="55"/>
      <c r="T256" s="55"/>
      <c r="U256" s="55"/>
      <c r="V256" s="55"/>
      <c r="W256" s="55"/>
      <c r="X256" s="55"/>
      <c r="Y256" s="55"/>
      <c r="Z256" s="55"/>
    </row>
    <row r="257" spans="1:26" ht="15.75" customHeight="1">
      <c r="A257" s="171" t="s">
        <v>361</v>
      </c>
      <c r="B257" s="199">
        <v>45625</v>
      </c>
      <c r="C257" s="171">
        <v>5</v>
      </c>
      <c r="D257" s="168">
        <v>72364</v>
      </c>
      <c r="E257" s="168">
        <v>928571</v>
      </c>
      <c r="F257" s="168">
        <f t="shared" si="21"/>
        <v>185714.2</v>
      </c>
      <c r="G257" s="168">
        <f t="shared" si="18"/>
        <v>14472.8</v>
      </c>
      <c r="H257" s="168">
        <v>464008</v>
      </c>
      <c r="I257" s="201">
        <v>500</v>
      </c>
      <c r="J257" s="203">
        <f t="shared" si="26"/>
        <v>928.01599999999996</v>
      </c>
      <c r="K257" s="168">
        <v>67920</v>
      </c>
      <c r="L257" s="202">
        <v>500</v>
      </c>
      <c r="M257" s="171">
        <f t="shared" si="25"/>
        <v>135.84</v>
      </c>
      <c r="N257" s="171">
        <v>0</v>
      </c>
      <c r="O257" s="202">
        <v>0</v>
      </c>
      <c r="P257" s="171">
        <v>0</v>
      </c>
      <c r="Q257" s="55"/>
      <c r="R257" s="55"/>
      <c r="S257" s="55"/>
      <c r="T257" s="55"/>
      <c r="U257" s="55"/>
      <c r="V257" s="55"/>
      <c r="W257" s="55"/>
      <c r="X257" s="55"/>
      <c r="Y257" s="55"/>
      <c r="Z257" s="55"/>
    </row>
    <row r="258" spans="1:26" ht="15.75" customHeight="1">
      <c r="A258" s="171" t="s">
        <v>362</v>
      </c>
      <c r="B258" s="199">
        <v>45631</v>
      </c>
      <c r="C258" s="171">
        <v>15</v>
      </c>
      <c r="D258" s="171">
        <v>35001</v>
      </c>
      <c r="E258" s="216">
        <v>1046783</v>
      </c>
      <c r="F258" s="168">
        <f t="shared" si="21"/>
        <v>69785.53333333334</v>
      </c>
      <c r="G258" s="168">
        <f t="shared" si="18"/>
        <v>2333.4</v>
      </c>
      <c r="H258" s="168">
        <v>1262186</v>
      </c>
      <c r="I258" s="201">
        <v>1500</v>
      </c>
      <c r="J258" s="203">
        <f t="shared" si="26"/>
        <v>841.45733333333328</v>
      </c>
      <c r="K258" s="168">
        <v>19603</v>
      </c>
      <c r="L258" s="202">
        <v>1500</v>
      </c>
      <c r="M258" s="203">
        <f t="shared" si="25"/>
        <v>13.068666666666667</v>
      </c>
      <c r="N258" s="219">
        <v>2943</v>
      </c>
      <c r="O258" s="202">
        <v>1000</v>
      </c>
      <c r="P258" s="203">
        <f t="shared" si="24"/>
        <v>2.9430000000000001</v>
      </c>
      <c r="Q258" s="55"/>
      <c r="R258" s="55"/>
      <c r="S258" s="55"/>
      <c r="T258" s="55"/>
      <c r="U258" s="55"/>
      <c r="V258" s="55"/>
      <c r="W258" s="55"/>
      <c r="X258" s="55"/>
      <c r="Y258" s="55"/>
      <c r="Z258" s="55"/>
    </row>
    <row r="259" spans="1:26" ht="15.75" customHeight="1">
      <c r="A259" s="171" t="s">
        <v>363</v>
      </c>
      <c r="B259" s="199">
        <v>45356</v>
      </c>
      <c r="C259" s="171">
        <v>18</v>
      </c>
      <c r="D259" s="168">
        <v>972260</v>
      </c>
      <c r="E259" s="168">
        <v>4073445</v>
      </c>
      <c r="F259" s="168">
        <f t="shared" si="21"/>
        <v>226302.5</v>
      </c>
      <c r="G259" s="168">
        <f t="shared" si="18"/>
        <v>54014.444444444445</v>
      </c>
      <c r="H259" s="168">
        <v>3202340</v>
      </c>
      <c r="I259" s="201">
        <v>2000</v>
      </c>
      <c r="J259" s="200">
        <f t="shared" si="26"/>
        <v>1601.17</v>
      </c>
      <c r="K259" s="168">
        <v>935457</v>
      </c>
      <c r="L259" s="202">
        <v>2000</v>
      </c>
      <c r="M259" s="203">
        <f t="shared" si="25"/>
        <v>467.7285</v>
      </c>
      <c r="N259" s="168">
        <v>25955</v>
      </c>
      <c r="O259" s="202">
        <v>1000</v>
      </c>
      <c r="P259" s="203">
        <f t="shared" si="24"/>
        <v>25.954999999999998</v>
      </c>
      <c r="Q259" s="55"/>
      <c r="R259" s="55"/>
      <c r="S259" s="55"/>
      <c r="T259" s="55"/>
      <c r="U259" s="55"/>
      <c r="V259" s="55"/>
      <c r="W259" s="55"/>
      <c r="X259" s="55"/>
      <c r="Y259" s="55"/>
      <c r="Z259" s="55"/>
    </row>
    <row r="260" spans="1:26" ht="15.75" customHeight="1">
      <c r="A260" s="171" t="s">
        <v>364</v>
      </c>
      <c r="B260" s="199">
        <v>45352</v>
      </c>
      <c r="C260" s="171">
        <v>8</v>
      </c>
      <c r="D260" s="168">
        <v>98273</v>
      </c>
      <c r="E260" s="216">
        <v>564210</v>
      </c>
      <c r="F260" s="168">
        <f t="shared" si="21"/>
        <v>70526.25</v>
      </c>
      <c r="G260" s="168">
        <f t="shared" si="18"/>
        <v>12284.125</v>
      </c>
      <c r="H260" s="168">
        <v>658438</v>
      </c>
      <c r="I260" s="201">
        <v>487.77</v>
      </c>
      <c r="J260" s="200">
        <f t="shared" si="26"/>
        <v>1349.8944174508479</v>
      </c>
      <c r="K260" s="168">
        <v>89214</v>
      </c>
      <c r="L260" s="202">
        <v>205.71</v>
      </c>
      <c r="M260" s="203">
        <f t="shared" si="25"/>
        <v>433.68820183753826</v>
      </c>
      <c r="N260" s="168">
        <v>5500</v>
      </c>
      <c r="O260" s="202">
        <v>500</v>
      </c>
      <c r="P260" s="203">
        <f t="shared" si="24"/>
        <v>11</v>
      </c>
      <c r="Q260" s="55"/>
      <c r="R260" s="55"/>
      <c r="S260" s="55"/>
      <c r="T260" s="55"/>
      <c r="U260" s="55"/>
      <c r="V260" s="55"/>
      <c r="W260" s="55"/>
      <c r="X260" s="55"/>
      <c r="Y260" s="55"/>
      <c r="Z260" s="55"/>
    </row>
    <row r="261" spans="1:26" ht="15.75" customHeight="1">
      <c r="A261" s="171" t="s">
        <v>365</v>
      </c>
      <c r="B261" s="199">
        <v>45344</v>
      </c>
      <c r="C261" s="171">
        <v>8</v>
      </c>
      <c r="D261" s="168">
        <v>401452</v>
      </c>
      <c r="E261" s="216">
        <v>1649280</v>
      </c>
      <c r="F261" s="168">
        <f t="shared" si="21"/>
        <v>206160</v>
      </c>
      <c r="G261" s="168">
        <f t="shared" si="18"/>
        <v>50181.5</v>
      </c>
      <c r="H261" s="168">
        <v>1461737</v>
      </c>
      <c r="I261" s="201">
        <v>1000</v>
      </c>
      <c r="J261" s="200">
        <f t="shared" si="26"/>
        <v>1461.7370000000001</v>
      </c>
      <c r="K261" s="168">
        <v>395659</v>
      </c>
      <c r="L261" s="202">
        <v>1000</v>
      </c>
      <c r="M261" s="203">
        <f t="shared" si="25"/>
        <v>395.65899999999999</v>
      </c>
      <c r="N261" s="168">
        <v>16169</v>
      </c>
      <c r="O261" s="202">
        <v>1000</v>
      </c>
      <c r="P261" s="203">
        <f t="shared" si="24"/>
        <v>16.169</v>
      </c>
      <c r="Q261" s="55"/>
      <c r="R261" s="55"/>
      <c r="S261" s="55"/>
      <c r="T261" s="55"/>
      <c r="U261" s="55"/>
      <c r="V261" s="55"/>
      <c r="W261" s="55"/>
      <c r="X261" s="55"/>
      <c r="Y261" s="55"/>
      <c r="Z261" s="55"/>
    </row>
    <row r="262" spans="1:26" ht="15.75" customHeight="1">
      <c r="A262" s="171" t="s">
        <v>366</v>
      </c>
      <c r="B262" s="199">
        <v>45365</v>
      </c>
      <c r="C262" s="171">
        <v>10</v>
      </c>
      <c r="D262" s="168">
        <v>87328</v>
      </c>
      <c r="E262" s="216">
        <v>2035826</v>
      </c>
      <c r="F262" s="168">
        <f t="shared" si="21"/>
        <v>203582.6</v>
      </c>
      <c r="G262" s="168">
        <f t="shared" si="18"/>
        <v>8732.7999999999993</v>
      </c>
      <c r="H262" s="168">
        <v>388228</v>
      </c>
      <c r="I262" s="201">
        <v>250</v>
      </c>
      <c r="J262" s="200">
        <f t="shared" si="26"/>
        <v>1552.912</v>
      </c>
      <c r="K262" s="168">
        <v>65533</v>
      </c>
      <c r="L262" s="202">
        <v>250</v>
      </c>
      <c r="M262" s="203">
        <f t="shared" si="25"/>
        <v>262.13200000000001</v>
      </c>
      <c r="N262" s="168">
        <v>7210</v>
      </c>
      <c r="O262" s="202">
        <v>500</v>
      </c>
      <c r="P262" s="171">
        <f t="shared" si="24"/>
        <v>14.42</v>
      </c>
      <c r="Q262" s="55"/>
      <c r="R262" s="55"/>
      <c r="S262" s="55"/>
      <c r="T262" s="55"/>
      <c r="U262" s="55"/>
      <c r="V262" s="55"/>
      <c r="W262" s="55"/>
      <c r="X262" s="55"/>
      <c r="Y262" s="55"/>
      <c r="Z262" s="55"/>
    </row>
    <row r="263" spans="1:26" ht="15.75" customHeight="1">
      <c r="A263" s="171" t="s">
        <v>367</v>
      </c>
      <c r="B263" s="199">
        <v>45355</v>
      </c>
      <c r="C263" s="171">
        <v>10</v>
      </c>
      <c r="D263" s="207">
        <v>265478</v>
      </c>
      <c r="E263" s="168">
        <v>1584646</v>
      </c>
      <c r="F263" s="168">
        <f t="shared" si="21"/>
        <v>158464.6</v>
      </c>
      <c r="G263" s="168">
        <f t="shared" si="18"/>
        <v>26547.8</v>
      </c>
      <c r="H263" s="168">
        <v>1276036</v>
      </c>
      <c r="I263" s="201">
        <v>1000</v>
      </c>
      <c r="J263" s="200">
        <f t="shared" si="26"/>
        <v>1276.0360000000001</v>
      </c>
      <c r="K263" s="168">
        <v>256966</v>
      </c>
      <c r="L263" s="202">
        <v>1000</v>
      </c>
      <c r="M263" s="203">
        <f t="shared" si="25"/>
        <v>256.96600000000001</v>
      </c>
      <c r="N263" s="168">
        <v>15892</v>
      </c>
      <c r="O263" s="202">
        <v>2000</v>
      </c>
      <c r="P263" s="203">
        <f t="shared" si="24"/>
        <v>7.9459999999999997</v>
      </c>
      <c r="Q263" s="55"/>
      <c r="R263" s="55"/>
      <c r="S263" s="55"/>
      <c r="T263" s="55"/>
      <c r="U263" s="55"/>
      <c r="V263" s="55"/>
      <c r="W263" s="55"/>
      <c r="X263" s="55"/>
      <c r="Y263" s="55"/>
      <c r="Z263" s="55"/>
    </row>
    <row r="264" spans="1:26" ht="15.75" customHeight="1">
      <c r="A264" s="171" t="s">
        <v>368</v>
      </c>
      <c r="B264" s="199">
        <v>45352</v>
      </c>
      <c r="C264" s="171">
        <v>15</v>
      </c>
      <c r="D264" s="168">
        <v>211683</v>
      </c>
      <c r="E264" s="168">
        <v>2923539</v>
      </c>
      <c r="F264" s="168">
        <f t="shared" si="21"/>
        <v>194902.6</v>
      </c>
      <c r="G264" s="168">
        <f t="shared" si="18"/>
        <v>14112.2</v>
      </c>
      <c r="H264" s="168">
        <v>1417137</v>
      </c>
      <c r="I264" s="201">
        <v>1000</v>
      </c>
      <c r="J264" s="200">
        <f t="shared" si="26"/>
        <v>1417.1369999999999</v>
      </c>
      <c r="K264" s="168">
        <v>193791</v>
      </c>
      <c r="L264" s="202">
        <v>1000</v>
      </c>
      <c r="M264" s="203">
        <f t="shared" si="25"/>
        <v>193.791</v>
      </c>
      <c r="N264" s="168">
        <v>23026</v>
      </c>
      <c r="O264" s="202">
        <v>2000</v>
      </c>
      <c r="P264" s="203">
        <f t="shared" si="24"/>
        <v>11.513</v>
      </c>
      <c r="Q264" s="55"/>
      <c r="R264" s="55"/>
      <c r="S264" s="55"/>
      <c r="T264" s="55"/>
      <c r="U264" s="55"/>
      <c r="V264" s="55"/>
      <c r="W264" s="55"/>
      <c r="X264" s="55"/>
      <c r="Y264" s="55"/>
      <c r="Z264" s="55"/>
    </row>
    <row r="265" spans="1:26" ht="15.75" customHeight="1">
      <c r="A265" s="171" t="s">
        <v>369</v>
      </c>
      <c r="B265" s="199">
        <v>45334</v>
      </c>
      <c r="C265" s="171">
        <v>10</v>
      </c>
      <c r="D265" s="168">
        <v>190823</v>
      </c>
      <c r="E265" s="168">
        <v>507675</v>
      </c>
      <c r="F265" s="168">
        <f t="shared" si="21"/>
        <v>50767.5</v>
      </c>
      <c r="G265" s="168">
        <f t="shared" si="18"/>
        <v>19082.3</v>
      </c>
      <c r="H265" s="168">
        <v>3027822</v>
      </c>
      <c r="I265" s="201">
        <v>2000</v>
      </c>
      <c r="J265" s="200">
        <f t="shared" si="26"/>
        <v>1513.9110000000001</v>
      </c>
      <c r="K265" s="168">
        <v>177483</v>
      </c>
      <c r="L265" s="202">
        <v>1500</v>
      </c>
      <c r="M265" s="203">
        <f t="shared" si="25"/>
        <v>118.322</v>
      </c>
      <c r="N265" s="168">
        <v>9206</v>
      </c>
      <c r="O265" s="202">
        <v>500</v>
      </c>
      <c r="P265" s="203">
        <f t="shared" si="24"/>
        <v>18.411999999999999</v>
      </c>
      <c r="Q265" s="55"/>
      <c r="R265" s="55"/>
      <c r="S265" s="55"/>
      <c r="T265" s="55"/>
      <c r="U265" s="55"/>
      <c r="V265" s="55"/>
      <c r="W265" s="55"/>
      <c r="X265" s="55"/>
      <c r="Y265" s="55"/>
      <c r="Z265" s="55"/>
    </row>
    <row r="266" spans="1:26" ht="15.75" customHeight="1">
      <c r="A266" s="171" t="s">
        <v>370</v>
      </c>
      <c r="B266" s="199">
        <v>45352</v>
      </c>
      <c r="C266" s="171">
        <v>10</v>
      </c>
      <c r="D266" s="168">
        <v>112821</v>
      </c>
      <c r="E266" s="168">
        <v>2162490</v>
      </c>
      <c r="F266" s="168">
        <f t="shared" si="21"/>
        <v>216249</v>
      </c>
      <c r="G266" s="168">
        <f t="shared" si="18"/>
        <v>11282.1</v>
      </c>
      <c r="H266" s="168">
        <v>529675</v>
      </c>
      <c r="I266" s="201">
        <v>250</v>
      </c>
      <c r="J266" s="200">
        <f t="shared" si="26"/>
        <v>2118.6999999999998</v>
      </c>
      <c r="K266" s="168">
        <v>103863</v>
      </c>
      <c r="L266" s="202">
        <v>250</v>
      </c>
      <c r="M266" s="203">
        <f t="shared" si="25"/>
        <v>415.452</v>
      </c>
      <c r="N266" s="168">
        <v>2805</v>
      </c>
      <c r="O266" s="202">
        <v>500</v>
      </c>
      <c r="P266" s="171">
        <f t="shared" si="24"/>
        <v>5.61</v>
      </c>
      <c r="Q266" s="55"/>
      <c r="R266" s="55"/>
      <c r="S266" s="55"/>
      <c r="T266" s="55"/>
      <c r="U266" s="55"/>
      <c r="V266" s="55"/>
      <c r="W266" s="55"/>
      <c r="X266" s="55"/>
      <c r="Y266" s="55"/>
      <c r="Z266" s="55"/>
    </row>
    <row r="267" spans="1:26" ht="15.75" customHeight="1">
      <c r="A267" s="171" t="s">
        <v>371</v>
      </c>
      <c r="B267" s="199">
        <v>45369</v>
      </c>
      <c r="C267" s="171">
        <v>10</v>
      </c>
      <c r="D267" s="168">
        <v>179951</v>
      </c>
      <c r="E267" s="168">
        <v>1347623</v>
      </c>
      <c r="F267" s="168">
        <f t="shared" si="21"/>
        <v>134762.29999999999</v>
      </c>
      <c r="G267" s="168">
        <f t="shared" si="18"/>
        <v>17995.099999999999</v>
      </c>
      <c r="H267" s="168">
        <v>1188961</v>
      </c>
      <c r="I267" s="201">
        <v>1000</v>
      </c>
      <c r="J267" s="200">
        <f t="shared" si="26"/>
        <v>1188.961</v>
      </c>
      <c r="K267" s="168">
        <v>158677</v>
      </c>
      <c r="L267" s="202">
        <v>500</v>
      </c>
      <c r="M267" s="203">
        <f t="shared" si="25"/>
        <v>317.35399999999998</v>
      </c>
      <c r="N267" s="168">
        <v>12558</v>
      </c>
      <c r="O267" s="202">
        <v>500</v>
      </c>
      <c r="P267" s="203">
        <f t="shared" si="24"/>
        <v>25.116</v>
      </c>
      <c r="Q267" s="55"/>
      <c r="R267" s="55"/>
      <c r="S267" s="55"/>
      <c r="T267" s="55"/>
      <c r="U267" s="55"/>
      <c r="V267" s="55"/>
      <c r="W267" s="55"/>
      <c r="X267" s="55"/>
      <c r="Y267" s="55"/>
      <c r="Z267" s="55"/>
    </row>
    <row r="268" spans="1:26" ht="15.75" customHeight="1">
      <c r="A268" s="171" t="s">
        <v>372</v>
      </c>
      <c r="B268" s="199">
        <v>45383</v>
      </c>
      <c r="C268" s="171">
        <v>5</v>
      </c>
      <c r="D268" s="168">
        <v>84167</v>
      </c>
      <c r="E268" s="216">
        <v>254727</v>
      </c>
      <c r="F268" s="168">
        <f t="shared" si="21"/>
        <v>50945.4</v>
      </c>
      <c r="G268" s="168">
        <f t="shared" si="18"/>
        <v>16833.400000000001</v>
      </c>
      <c r="H268" s="168">
        <v>468704</v>
      </c>
      <c r="I268" s="201">
        <v>1500</v>
      </c>
      <c r="J268" s="203">
        <f t="shared" si="26"/>
        <v>312.46933333333334</v>
      </c>
      <c r="K268" s="168">
        <v>77784</v>
      </c>
      <c r="L268" s="202">
        <v>2000</v>
      </c>
      <c r="M268" s="203">
        <f t="shared" si="25"/>
        <v>38.892000000000003</v>
      </c>
      <c r="N268" s="168">
        <v>1662</v>
      </c>
      <c r="O268" s="202">
        <v>1000</v>
      </c>
      <c r="P268" s="171">
        <f t="shared" si="24"/>
        <v>1.6619999999999999</v>
      </c>
      <c r="Q268" s="55"/>
      <c r="R268" s="55"/>
      <c r="S268" s="55"/>
      <c r="T268" s="55"/>
      <c r="U268" s="55"/>
      <c r="V268" s="55"/>
      <c r="W268" s="55"/>
      <c r="X268" s="55"/>
      <c r="Y268" s="55"/>
      <c r="Z268" s="55"/>
    </row>
    <row r="269" spans="1:26" ht="15.75" customHeight="1">
      <c r="A269" s="171" t="s">
        <v>373</v>
      </c>
      <c r="B269" s="199">
        <v>45370</v>
      </c>
      <c r="C269" s="171">
        <v>3</v>
      </c>
      <c r="D269" s="168">
        <v>589848</v>
      </c>
      <c r="E269" s="216">
        <v>3111711</v>
      </c>
      <c r="F269" s="168">
        <f t="shared" si="21"/>
        <v>1037237</v>
      </c>
      <c r="G269" s="168">
        <f t="shared" si="18"/>
        <v>196616</v>
      </c>
      <c r="H269" s="168">
        <v>2298577</v>
      </c>
      <c r="I269" s="201">
        <v>4000</v>
      </c>
      <c r="J269" s="203">
        <f t="shared" si="26"/>
        <v>574.64425000000006</v>
      </c>
      <c r="K269" s="168">
        <v>568456</v>
      </c>
      <c r="L269" s="202">
        <v>4000</v>
      </c>
      <c r="M269" s="203">
        <f t="shared" si="25"/>
        <v>142.114</v>
      </c>
      <c r="N269" s="168">
        <v>14991</v>
      </c>
      <c r="O269" s="202">
        <v>2000</v>
      </c>
      <c r="P269" s="203">
        <f t="shared" si="24"/>
        <v>7.4954999999999998</v>
      </c>
      <c r="Q269" s="55"/>
      <c r="R269" s="55"/>
      <c r="S269" s="55"/>
      <c r="T269" s="55"/>
      <c r="U269" s="55"/>
      <c r="V269" s="55"/>
      <c r="W269" s="55"/>
      <c r="X269" s="55"/>
      <c r="Y269" s="55"/>
      <c r="Z269" s="55"/>
    </row>
    <row r="270" spans="1:26" ht="15.75" customHeight="1">
      <c r="A270" s="171" t="s">
        <v>374</v>
      </c>
      <c r="B270" s="199">
        <v>45390</v>
      </c>
      <c r="C270" s="171">
        <v>10</v>
      </c>
      <c r="D270" s="168">
        <v>68727</v>
      </c>
      <c r="E270" s="216">
        <v>975436</v>
      </c>
      <c r="F270" s="168">
        <f t="shared" si="21"/>
        <v>97543.6</v>
      </c>
      <c r="G270" s="168">
        <f t="shared" si="18"/>
        <v>6872.7</v>
      </c>
      <c r="H270" s="168">
        <v>865023</v>
      </c>
      <c r="I270" s="201">
        <v>250</v>
      </c>
      <c r="J270" s="200">
        <f t="shared" si="26"/>
        <v>3460.0920000000001</v>
      </c>
      <c r="K270" s="168">
        <v>49983</v>
      </c>
      <c r="L270" s="202">
        <v>250</v>
      </c>
      <c r="M270" s="203">
        <f t="shared" si="25"/>
        <v>199.93199999999999</v>
      </c>
      <c r="N270" s="219">
        <v>3366</v>
      </c>
      <c r="O270" s="202">
        <v>500</v>
      </c>
      <c r="P270" s="203">
        <f t="shared" si="24"/>
        <v>6.7320000000000002</v>
      </c>
      <c r="Q270" s="55"/>
      <c r="R270" s="55"/>
      <c r="S270" s="55"/>
      <c r="T270" s="55"/>
      <c r="U270" s="55"/>
      <c r="V270" s="55"/>
      <c r="W270" s="55"/>
      <c r="X270" s="55"/>
      <c r="Y270" s="55"/>
      <c r="Z270" s="55"/>
    </row>
    <row r="271" spans="1:26" ht="15.75" customHeight="1">
      <c r="A271" s="171" t="s">
        <v>375</v>
      </c>
      <c r="B271" s="183">
        <v>45395</v>
      </c>
      <c r="C271" s="171">
        <v>20</v>
      </c>
      <c r="D271" s="207">
        <v>100444</v>
      </c>
      <c r="E271" s="216">
        <v>1867111</v>
      </c>
      <c r="F271" s="207">
        <f t="shared" si="21"/>
        <v>93355.55</v>
      </c>
      <c r="G271" s="207">
        <f t="shared" si="18"/>
        <v>5022.2</v>
      </c>
      <c r="H271" s="207">
        <v>1692631</v>
      </c>
      <c r="I271" s="206">
        <v>1000</v>
      </c>
      <c r="J271" s="220">
        <f t="shared" si="26"/>
        <v>1692.6310000000001</v>
      </c>
      <c r="K271" s="207">
        <v>86350</v>
      </c>
      <c r="L271" s="202">
        <v>1000</v>
      </c>
      <c r="M271" s="203">
        <f t="shared" si="25"/>
        <v>86.35</v>
      </c>
      <c r="N271" s="207">
        <v>6525</v>
      </c>
      <c r="O271" s="202">
        <v>1000</v>
      </c>
      <c r="P271" s="203">
        <f t="shared" si="24"/>
        <v>6.5250000000000004</v>
      </c>
    </row>
    <row r="272" spans="1:26" ht="15.75" customHeight="1">
      <c r="A272" s="171" t="s">
        <v>376</v>
      </c>
      <c r="B272" s="183">
        <v>45329</v>
      </c>
      <c r="C272" s="171">
        <v>8</v>
      </c>
      <c r="D272" s="207">
        <v>33347</v>
      </c>
      <c r="E272" s="221">
        <v>695728</v>
      </c>
      <c r="F272" s="207">
        <f t="shared" si="21"/>
        <v>86966</v>
      </c>
      <c r="G272" s="207">
        <f t="shared" si="18"/>
        <v>4168.375</v>
      </c>
      <c r="H272" s="207">
        <v>485028</v>
      </c>
      <c r="I272" s="206">
        <v>375</v>
      </c>
      <c r="J272" s="220">
        <f t="shared" si="26"/>
        <v>1293.4079999999999</v>
      </c>
      <c r="K272" s="207">
        <v>23849</v>
      </c>
      <c r="L272" s="202">
        <v>375</v>
      </c>
      <c r="M272" s="203">
        <f t="shared" si="25"/>
        <v>63.597333333333331</v>
      </c>
      <c r="N272" s="207">
        <v>4810</v>
      </c>
      <c r="O272" s="202">
        <v>750</v>
      </c>
      <c r="P272" s="203">
        <f t="shared" si="24"/>
        <v>6.4133333333333331</v>
      </c>
    </row>
    <row r="273" spans="1:16" ht="15.75" customHeight="1">
      <c r="A273" s="171" t="s">
        <v>377</v>
      </c>
      <c r="B273" s="183">
        <v>45418</v>
      </c>
      <c r="C273" s="171">
        <v>6</v>
      </c>
      <c r="D273" s="207">
        <v>65546</v>
      </c>
      <c r="E273" s="221">
        <v>1272777</v>
      </c>
      <c r="F273" s="207">
        <f t="shared" si="21"/>
        <v>212129.5</v>
      </c>
      <c r="G273" s="207">
        <f t="shared" si="18"/>
        <v>10924.333333333334</v>
      </c>
      <c r="H273" s="207">
        <v>418390</v>
      </c>
      <c r="I273" s="206">
        <v>500</v>
      </c>
      <c r="J273" s="220">
        <f t="shared" si="26"/>
        <v>836.78</v>
      </c>
      <c r="K273" s="207">
        <v>53311</v>
      </c>
      <c r="L273" s="202">
        <v>250</v>
      </c>
      <c r="M273" s="203">
        <f t="shared" si="25"/>
        <v>213.244</v>
      </c>
      <c r="N273" s="207">
        <v>1808</v>
      </c>
      <c r="O273" s="202">
        <v>250</v>
      </c>
      <c r="P273" s="203">
        <f t="shared" si="24"/>
        <v>7.2320000000000002</v>
      </c>
    </row>
    <row r="274" spans="1:16" ht="15.75" customHeight="1">
      <c r="A274" s="171" t="s">
        <v>290</v>
      </c>
      <c r="B274" s="183">
        <v>45397</v>
      </c>
      <c r="C274" s="171">
        <v>27</v>
      </c>
      <c r="D274" s="207">
        <v>201707</v>
      </c>
      <c r="E274" s="221">
        <v>3634508</v>
      </c>
      <c r="F274" s="207">
        <f t="shared" si="21"/>
        <v>134611.40740740742</v>
      </c>
      <c r="G274" s="207">
        <f t="shared" si="18"/>
        <v>7470.6296296296296</v>
      </c>
      <c r="H274" s="207">
        <v>1572359</v>
      </c>
      <c r="I274" s="206">
        <v>1000</v>
      </c>
      <c r="J274" s="220">
        <f t="shared" si="26"/>
        <v>1572.3589999999999</v>
      </c>
      <c r="K274" s="207">
        <v>171503</v>
      </c>
      <c r="L274" s="202">
        <v>1000</v>
      </c>
      <c r="M274" s="203">
        <f t="shared" si="25"/>
        <v>171.50299999999999</v>
      </c>
      <c r="N274" s="207">
        <v>6613</v>
      </c>
      <c r="O274" s="202">
        <v>1000</v>
      </c>
      <c r="P274" s="203">
        <f t="shared" si="24"/>
        <v>6.6130000000000004</v>
      </c>
    </row>
    <row r="275" spans="1:16" ht="15.75" customHeight="1">
      <c r="A275" s="171" t="s">
        <v>378</v>
      </c>
      <c r="B275" s="183">
        <v>45384</v>
      </c>
      <c r="C275" s="171">
        <v>25</v>
      </c>
      <c r="D275" s="207">
        <v>160507</v>
      </c>
      <c r="E275" s="221">
        <v>2488791</v>
      </c>
      <c r="F275" s="207">
        <f t="shared" si="21"/>
        <v>99551.64</v>
      </c>
      <c r="G275" s="207">
        <f t="shared" si="18"/>
        <v>6420.28</v>
      </c>
      <c r="H275" s="207">
        <v>691786</v>
      </c>
      <c r="I275" s="206">
        <v>1000</v>
      </c>
      <c r="J275" s="220">
        <f t="shared" si="26"/>
        <v>691.78599999999994</v>
      </c>
      <c r="K275" s="207">
        <v>137983</v>
      </c>
      <c r="L275" s="202">
        <v>1000</v>
      </c>
      <c r="M275" s="203">
        <f t="shared" si="25"/>
        <v>137.983</v>
      </c>
      <c r="N275" s="207">
        <v>11465</v>
      </c>
      <c r="O275" s="202">
        <v>1000</v>
      </c>
      <c r="P275" s="203">
        <f t="shared" si="24"/>
        <v>11.465</v>
      </c>
    </row>
    <row r="276" spans="1:16" ht="15.75" customHeight="1">
      <c r="A276" s="171" t="s">
        <v>379</v>
      </c>
      <c r="B276" s="183">
        <v>45415</v>
      </c>
      <c r="C276" s="171">
        <v>10</v>
      </c>
      <c r="D276" s="207">
        <v>35554</v>
      </c>
      <c r="E276" s="221">
        <v>1282179</v>
      </c>
      <c r="F276" s="207">
        <f t="shared" si="21"/>
        <v>128217.9</v>
      </c>
      <c r="G276" s="207">
        <f t="shared" si="18"/>
        <v>3555.4</v>
      </c>
      <c r="H276" s="207">
        <v>453509</v>
      </c>
      <c r="I276" s="206">
        <v>500</v>
      </c>
      <c r="J276" s="220">
        <f t="shared" si="26"/>
        <v>907.01800000000003</v>
      </c>
      <c r="K276" s="207">
        <v>30437</v>
      </c>
      <c r="L276" s="202">
        <v>250</v>
      </c>
      <c r="M276" s="203">
        <f t="shared" si="25"/>
        <v>121.748</v>
      </c>
      <c r="N276" s="207">
        <v>2871</v>
      </c>
      <c r="O276" s="202">
        <v>250</v>
      </c>
      <c r="P276" s="203">
        <f t="shared" si="24"/>
        <v>11.484</v>
      </c>
    </row>
    <row r="277" spans="1:16" ht="15.75" customHeight="1">
      <c r="A277" s="171" t="s">
        <v>280</v>
      </c>
      <c r="B277" s="222">
        <v>45405</v>
      </c>
      <c r="C277" s="171">
        <v>30</v>
      </c>
      <c r="D277" s="207">
        <v>273379</v>
      </c>
      <c r="E277" s="221">
        <v>3197781</v>
      </c>
      <c r="F277" s="207">
        <f t="shared" si="21"/>
        <v>106592.7</v>
      </c>
      <c r="G277" s="207">
        <f t="shared" si="18"/>
        <v>9112.6333333333332</v>
      </c>
      <c r="H277" s="207">
        <v>1762310</v>
      </c>
      <c r="I277" s="206">
        <v>2000</v>
      </c>
      <c r="J277" s="220">
        <f t="shared" si="26"/>
        <v>881.15499999999997</v>
      </c>
      <c r="K277" s="207">
        <v>244598</v>
      </c>
      <c r="L277" s="202">
        <v>2000</v>
      </c>
      <c r="M277" s="203">
        <f t="shared" si="25"/>
        <v>122.29900000000001</v>
      </c>
      <c r="N277" s="207">
        <v>10642</v>
      </c>
      <c r="O277" s="202">
        <v>1000</v>
      </c>
      <c r="P277" s="203">
        <f t="shared" si="24"/>
        <v>10.641999999999999</v>
      </c>
    </row>
    <row r="278" spans="1:16" ht="15.75" customHeight="1">
      <c r="A278" s="171" t="s">
        <v>380</v>
      </c>
      <c r="B278" s="183">
        <v>45401</v>
      </c>
      <c r="C278" s="171">
        <v>10</v>
      </c>
      <c r="D278" s="207">
        <v>125163</v>
      </c>
      <c r="E278" s="221">
        <v>845853</v>
      </c>
      <c r="F278" s="207">
        <f t="shared" si="21"/>
        <v>84585.3</v>
      </c>
      <c r="G278" s="207">
        <f t="shared" si="18"/>
        <v>12516.3</v>
      </c>
      <c r="H278" s="207">
        <v>645519</v>
      </c>
      <c r="I278" s="206">
        <v>500</v>
      </c>
      <c r="J278" s="220">
        <f t="shared" si="26"/>
        <v>1291.038</v>
      </c>
      <c r="K278" s="207">
        <v>116163</v>
      </c>
      <c r="L278" s="202">
        <v>500</v>
      </c>
      <c r="M278" s="203">
        <f t="shared" si="25"/>
        <v>232.32599999999999</v>
      </c>
      <c r="N278" s="207">
        <v>3764</v>
      </c>
      <c r="O278" s="202">
        <v>500</v>
      </c>
      <c r="P278" s="203">
        <f t="shared" si="24"/>
        <v>7.5279999999999996</v>
      </c>
    </row>
    <row r="279" spans="1:16" ht="15.75" customHeight="1">
      <c r="A279" s="171" t="s">
        <v>293</v>
      </c>
      <c r="B279" s="183">
        <v>45413</v>
      </c>
      <c r="C279" s="171">
        <v>25</v>
      </c>
      <c r="D279" s="207">
        <v>141785</v>
      </c>
      <c r="E279" s="221">
        <v>2418573</v>
      </c>
      <c r="F279" s="207">
        <f t="shared" si="21"/>
        <v>96742.92</v>
      </c>
      <c r="G279" s="207">
        <f t="shared" si="18"/>
        <v>5671.4</v>
      </c>
      <c r="H279" s="207">
        <v>5654099</v>
      </c>
      <c r="I279" s="206">
        <v>2500</v>
      </c>
      <c r="J279" s="220">
        <f t="shared" si="26"/>
        <v>2261.6396</v>
      </c>
      <c r="K279" s="207">
        <v>122006</v>
      </c>
      <c r="L279" s="202">
        <v>2000</v>
      </c>
      <c r="M279" s="203">
        <f t="shared" si="25"/>
        <v>61.003</v>
      </c>
      <c r="N279" s="207">
        <v>7433</v>
      </c>
      <c r="O279" s="202">
        <v>500</v>
      </c>
      <c r="P279" s="203">
        <f t="shared" si="24"/>
        <v>14.866</v>
      </c>
    </row>
    <row r="280" spans="1:16" ht="15.75" customHeight="1">
      <c r="A280" s="171" t="s">
        <v>268</v>
      </c>
      <c r="B280" s="183">
        <v>45435</v>
      </c>
      <c r="C280" s="171">
        <v>20</v>
      </c>
      <c r="D280" s="207">
        <v>174488</v>
      </c>
      <c r="E280" s="221">
        <v>1832304</v>
      </c>
      <c r="F280" s="207">
        <f t="shared" si="21"/>
        <v>91615.2</v>
      </c>
      <c r="G280" s="207">
        <f t="shared" si="18"/>
        <v>8724.4</v>
      </c>
      <c r="H280" s="207">
        <v>1463943</v>
      </c>
      <c r="I280" s="206">
        <v>1000</v>
      </c>
      <c r="J280" s="220">
        <f t="shared" si="26"/>
        <v>1463.943</v>
      </c>
      <c r="K280" s="207">
        <v>150126</v>
      </c>
      <c r="L280" s="202">
        <v>1000</v>
      </c>
      <c r="M280" s="203">
        <f t="shared" si="25"/>
        <v>150.126</v>
      </c>
      <c r="N280" s="207">
        <v>16758</v>
      </c>
      <c r="O280" s="202">
        <v>2000</v>
      </c>
      <c r="P280" s="203">
        <f t="shared" si="24"/>
        <v>8.3789999999999996</v>
      </c>
    </row>
    <row r="281" spans="1:16" ht="15.75" customHeight="1">
      <c r="A281" s="171" t="s">
        <v>381</v>
      </c>
      <c r="B281" s="183">
        <v>45453</v>
      </c>
      <c r="C281" s="171">
        <v>35</v>
      </c>
      <c r="D281" s="207">
        <v>129525</v>
      </c>
      <c r="E281" s="221">
        <v>2352939</v>
      </c>
      <c r="F281" s="207">
        <f t="shared" si="21"/>
        <v>67226.828571428574</v>
      </c>
      <c r="G281" s="207">
        <f t="shared" si="18"/>
        <v>3700.7142857142858</v>
      </c>
      <c r="H281" s="207">
        <v>359846</v>
      </c>
      <c r="I281" s="206">
        <v>320</v>
      </c>
      <c r="J281" s="220">
        <f t="shared" si="26"/>
        <v>1124.51875</v>
      </c>
      <c r="K281" s="207">
        <v>113001</v>
      </c>
      <c r="L281" s="202">
        <v>320</v>
      </c>
      <c r="M281" s="203">
        <f t="shared" si="25"/>
        <v>353.12812500000001</v>
      </c>
      <c r="N281" s="207">
        <v>5393</v>
      </c>
      <c r="O281" s="202">
        <v>320</v>
      </c>
      <c r="P281" s="203">
        <f t="shared" si="24"/>
        <v>16.853124999999999</v>
      </c>
    </row>
    <row r="282" spans="1:16" ht="15.75" customHeight="1">
      <c r="A282" s="171" t="s">
        <v>382</v>
      </c>
      <c r="B282" s="183">
        <v>45453</v>
      </c>
      <c r="C282" s="171">
        <v>31</v>
      </c>
      <c r="D282" s="207">
        <v>156341</v>
      </c>
      <c r="E282" s="221">
        <v>561086</v>
      </c>
      <c r="F282" s="207">
        <f t="shared" si="21"/>
        <v>18099.548387096773</v>
      </c>
      <c r="G282" s="207">
        <f t="shared" si="18"/>
        <v>5043.2580645161288</v>
      </c>
      <c r="H282" s="207">
        <v>906310</v>
      </c>
      <c r="I282" s="206">
        <v>800</v>
      </c>
      <c r="J282" s="220">
        <f t="shared" si="26"/>
        <v>1132.8875</v>
      </c>
      <c r="K282" s="207">
        <v>150070</v>
      </c>
      <c r="L282" s="202">
        <v>500</v>
      </c>
      <c r="M282" s="203">
        <f t="shared" si="25"/>
        <v>300.14</v>
      </c>
      <c r="N282" s="207">
        <v>3259</v>
      </c>
      <c r="O282" s="202">
        <v>200</v>
      </c>
      <c r="P282" s="203">
        <f t="shared" si="24"/>
        <v>16.295000000000002</v>
      </c>
    </row>
    <row r="283" spans="1:16" ht="15.75" customHeight="1">
      <c r="A283" s="171" t="s">
        <v>383</v>
      </c>
      <c r="B283" s="183">
        <v>45449</v>
      </c>
      <c r="C283" s="171">
        <v>6</v>
      </c>
      <c r="D283" s="207">
        <v>63394</v>
      </c>
      <c r="E283" s="221">
        <v>953122</v>
      </c>
      <c r="F283" s="207">
        <f t="shared" si="21"/>
        <v>158853.66666666666</v>
      </c>
      <c r="G283" s="207">
        <f t="shared" si="18"/>
        <v>10565.666666666666</v>
      </c>
      <c r="H283" s="207">
        <v>284384</v>
      </c>
      <c r="I283" s="206">
        <v>250</v>
      </c>
      <c r="J283" s="220">
        <f t="shared" si="26"/>
        <v>1137.5360000000001</v>
      </c>
      <c r="K283" s="207">
        <v>52671</v>
      </c>
      <c r="L283" s="202">
        <v>250</v>
      </c>
      <c r="M283" s="203">
        <f t="shared" si="25"/>
        <v>210.684</v>
      </c>
      <c r="N283" s="207">
        <v>6328</v>
      </c>
      <c r="O283" s="202">
        <v>500</v>
      </c>
      <c r="P283" s="203">
        <f t="shared" si="24"/>
        <v>12.656000000000001</v>
      </c>
    </row>
    <row r="284" spans="1:16" ht="15.75" customHeight="1">
      <c r="A284" s="171" t="s">
        <v>384</v>
      </c>
      <c r="B284" s="183">
        <v>45433</v>
      </c>
      <c r="C284" s="171">
        <v>3</v>
      </c>
      <c r="D284" s="207">
        <v>2741772</v>
      </c>
      <c r="E284" s="221">
        <v>2844268</v>
      </c>
      <c r="F284" s="207">
        <f t="shared" si="21"/>
        <v>948089.33333333337</v>
      </c>
      <c r="G284" s="207">
        <f t="shared" si="18"/>
        <v>913924</v>
      </c>
      <c r="H284" s="207">
        <v>17156351</v>
      </c>
      <c r="I284" s="206">
        <v>14000</v>
      </c>
      <c r="J284" s="220">
        <f t="shared" si="26"/>
        <v>1225.4536428571428</v>
      </c>
      <c r="K284" s="207">
        <v>2701976</v>
      </c>
      <c r="L284" s="202">
        <v>1400</v>
      </c>
      <c r="M284" s="203">
        <f t="shared" si="25"/>
        <v>1929.9828571428573</v>
      </c>
      <c r="N284" s="207">
        <v>32403</v>
      </c>
      <c r="O284" s="202">
        <v>14000</v>
      </c>
      <c r="P284" s="203">
        <f t="shared" si="24"/>
        <v>2.3144999999999998</v>
      </c>
    </row>
    <row r="285" spans="1:16" ht="15.75" customHeight="1">
      <c r="A285" s="171" t="s">
        <v>385</v>
      </c>
      <c r="B285" s="183">
        <v>45445</v>
      </c>
      <c r="C285" s="171">
        <v>4</v>
      </c>
      <c r="D285" s="207">
        <v>88909</v>
      </c>
      <c r="E285" s="221">
        <v>810052</v>
      </c>
      <c r="F285" s="207">
        <f t="shared" si="21"/>
        <v>202513</v>
      </c>
      <c r="G285" s="207">
        <f t="shared" si="18"/>
        <v>22227.25</v>
      </c>
      <c r="H285" s="207">
        <v>363648</v>
      </c>
      <c r="I285" s="206">
        <v>2250</v>
      </c>
      <c r="J285" s="220">
        <f t="shared" si="26"/>
        <v>161.62133333333333</v>
      </c>
      <c r="K285" s="207">
        <v>82217</v>
      </c>
      <c r="L285" s="202">
        <v>250</v>
      </c>
      <c r="M285" s="203">
        <f t="shared" si="25"/>
        <v>328.86799999999999</v>
      </c>
      <c r="N285" s="207">
        <v>6325</v>
      </c>
      <c r="O285" s="202">
        <v>500</v>
      </c>
      <c r="P285" s="203">
        <f t="shared" si="24"/>
        <v>12.65</v>
      </c>
    </row>
    <row r="286" spans="1:16" ht="15.75" customHeight="1">
      <c r="A286" s="171" t="s">
        <v>386</v>
      </c>
      <c r="B286" s="183">
        <v>45475</v>
      </c>
      <c r="C286" s="171">
        <v>2</v>
      </c>
      <c r="D286" s="207">
        <v>4352463</v>
      </c>
      <c r="E286" s="221">
        <v>876195</v>
      </c>
      <c r="F286" s="207">
        <f t="shared" si="21"/>
        <v>438097.5</v>
      </c>
      <c r="G286" s="207">
        <f t="shared" si="18"/>
        <v>2176231.5</v>
      </c>
      <c r="H286" s="207">
        <v>22817424</v>
      </c>
      <c r="I286" s="206">
        <v>40000</v>
      </c>
      <c r="J286" s="220">
        <f t="shared" si="26"/>
        <v>570.43560000000002</v>
      </c>
      <c r="K286" s="207">
        <v>4246696</v>
      </c>
      <c r="L286" s="202">
        <v>5228.3599999999997</v>
      </c>
      <c r="M286" s="203">
        <f t="shared" si="25"/>
        <v>812.24246226350147</v>
      </c>
      <c r="N286" s="207">
        <v>105003</v>
      </c>
      <c r="O286" s="202">
        <v>20000</v>
      </c>
      <c r="P286" s="203">
        <f t="shared" si="24"/>
        <v>5.2501499999999997</v>
      </c>
    </row>
    <row r="287" spans="1:16" ht="15.75" customHeight="1">
      <c r="A287" s="171" t="s">
        <v>387</v>
      </c>
      <c r="B287" s="183">
        <v>45497</v>
      </c>
      <c r="C287" s="171">
        <v>8</v>
      </c>
      <c r="D287" s="207">
        <v>265714</v>
      </c>
      <c r="E287" s="221">
        <v>3211950</v>
      </c>
      <c r="F287" s="207">
        <f t="shared" si="21"/>
        <v>401493.75</v>
      </c>
      <c r="G287" s="207">
        <f t="shared" si="18"/>
        <v>33214.25</v>
      </c>
      <c r="H287" s="207">
        <v>1578513</v>
      </c>
      <c r="I287" s="206">
        <v>2000</v>
      </c>
      <c r="J287" s="220">
        <f t="shared" si="26"/>
        <v>789.25649999999996</v>
      </c>
      <c r="K287" s="207">
        <v>225003</v>
      </c>
      <c r="L287" s="202">
        <v>403.02</v>
      </c>
      <c r="M287" s="203">
        <f t="shared" si="25"/>
        <v>558.29239243709992</v>
      </c>
      <c r="N287" s="207">
        <v>15588</v>
      </c>
      <c r="O287" s="202">
        <v>1597</v>
      </c>
      <c r="P287" s="203">
        <f t="shared" si="24"/>
        <v>9.7608015028177828</v>
      </c>
    </row>
    <row r="288" spans="1:16" ht="15.75" customHeight="1">
      <c r="A288" s="171" t="s">
        <v>388</v>
      </c>
      <c r="B288" s="183">
        <v>45474</v>
      </c>
      <c r="C288" s="171">
        <v>30</v>
      </c>
      <c r="D288" s="207">
        <v>256489</v>
      </c>
      <c r="E288" s="221">
        <v>2491325</v>
      </c>
      <c r="F288" s="207">
        <f t="shared" si="21"/>
        <v>83044.166666666672</v>
      </c>
      <c r="G288" s="207">
        <f t="shared" si="18"/>
        <v>8549.6333333333332</v>
      </c>
      <c r="H288" s="207">
        <v>4692065</v>
      </c>
      <c r="I288" s="206">
        <v>5537</v>
      </c>
      <c r="J288" s="220">
        <f t="shared" si="26"/>
        <v>847.40202275600507</v>
      </c>
      <c r="K288" s="207">
        <v>218733</v>
      </c>
      <c r="L288" s="202">
        <v>463.18</v>
      </c>
      <c r="M288" s="203">
        <f t="shared" si="25"/>
        <v>472.24189300056133</v>
      </c>
      <c r="N288" s="207">
        <v>24519</v>
      </c>
      <c r="O288" s="202">
        <v>2000</v>
      </c>
      <c r="P288" s="203">
        <f t="shared" si="24"/>
        <v>12.259499999999999</v>
      </c>
    </row>
    <row r="289" spans="1:16" ht="15.75" customHeight="1">
      <c r="A289" s="171" t="s">
        <v>389</v>
      </c>
      <c r="B289" s="183">
        <v>45488</v>
      </c>
      <c r="C289" s="171">
        <v>8</v>
      </c>
      <c r="D289" s="207">
        <v>114068</v>
      </c>
      <c r="E289" s="221">
        <v>943212</v>
      </c>
      <c r="F289" s="207">
        <f t="shared" si="21"/>
        <v>117901.5</v>
      </c>
      <c r="G289" s="207">
        <f t="shared" si="18"/>
        <v>14258.5</v>
      </c>
      <c r="H289" s="207">
        <v>891405</v>
      </c>
      <c r="I289" s="206">
        <v>800</v>
      </c>
      <c r="J289" s="220">
        <f t="shared" si="26"/>
        <v>1114.2562499999999</v>
      </c>
      <c r="K289" s="207">
        <v>108207</v>
      </c>
      <c r="L289" s="202">
        <v>450</v>
      </c>
      <c r="M289" s="203">
        <f t="shared" si="25"/>
        <v>240.46</v>
      </c>
      <c r="N289" s="207">
        <v>1733</v>
      </c>
      <c r="O289" s="202">
        <v>250</v>
      </c>
      <c r="P289" s="203">
        <f t="shared" si="24"/>
        <v>6.9320000000000004</v>
      </c>
    </row>
    <row r="290" spans="1:16" ht="15.75" customHeight="1">
      <c r="A290" s="171" t="s">
        <v>390</v>
      </c>
      <c r="B290" s="183">
        <v>45488</v>
      </c>
      <c r="C290" s="171">
        <v>8</v>
      </c>
      <c r="D290" s="207">
        <v>146447</v>
      </c>
      <c r="E290" s="221">
        <v>478715</v>
      </c>
      <c r="F290" s="207">
        <f t="shared" si="21"/>
        <v>59839.375</v>
      </c>
      <c r="G290" s="207">
        <f t="shared" si="18"/>
        <v>18305.875</v>
      </c>
      <c r="H290" s="207">
        <v>773399</v>
      </c>
      <c r="I290" s="206">
        <v>800</v>
      </c>
      <c r="J290" s="220">
        <f t="shared" si="26"/>
        <v>966.74874999999997</v>
      </c>
      <c r="K290" s="207">
        <v>138507</v>
      </c>
      <c r="L290" s="202">
        <v>449.99</v>
      </c>
      <c r="M290" s="203">
        <f t="shared" si="25"/>
        <v>307.80017333718524</v>
      </c>
      <c r="N290" s="207">
        <v>3695</v>
      </c>
      <c r="O290" s="202">
        <v>250</v>
      </c>
      <c r="P290" s="203">
        <f t="shared" si="24"/>
        <v>14.78</v>
      </c>
    </row>
    <row r="291" spans="1:16" ht="15.75" customHeight="1">
      <c r="A291" s="171" t="s">
        <v>391</v>
      </c>
      <c r="B291" s="183">
        <v>45488</v>
      </c>
      <c r="C291" s="171">
        <v>8</v>
      </c>
      <c r="D291" s="207">
        <v>113925</v>
      </c>
      <c r="E291" s="221">
        <v>1206581</v>
      </c>
      <c r="F291" s="207">
        <f t="shared" si="21"/>
        <v>150822.625</v>
      </c>
      <c r="G291" s="207">
        <f t="shared" si="18"/>
        <v>14240.625</v>
      </c>
      <c r="H291" s="207">
        <v>856356</v>
      </c>
      <c r="I291" s="206">
        <v>800</v>
      </c>
      <c r="J291" s="220">
        <f t="shared" si="26"/>
        <v>1070.4449999999999</v>
      </c>
      <c r="K291" s="207">
        <v>105323</v>
      </c>
      <c r="L291" s="202">
        <v>428.01</v>
      </c>
      <c r="M291" s="203">
        <f t="shared" si="25"/>
        <v>246.07602626106868</v>
      </c>
      <c r="N291" s="207">
        <v>4061</v>
      </c>
      <c r="O291" s="202">
        <v>250</v>
      </c>
      <c r="P291" s="203">
        <f t="shared" si="24"/>
        <v>16.244</v>
      </c>
    </row>
    <row r="292" spans="1:16" ht="15.75" customHeight="1">
      <c r="A292" s="171" t="s">
        <v>392</v>
      </c>
      <c r="B292" s="183">
        <v>45497</v>
      </c>
      <c r="C292" s="171">
        <v>2</v>
      </c>
      <c r="D292" s="207">
        <v>2141847</v>
      </c>
      <c r="E292" s="221">
        <v>94361</v>
      </c>
      <c r="F292" s="207">
        <f t="shared" si="21"/>
        <v>47180.5</v>
      </c>
      <c r="G292" s="207">
        <f t="shared" si="18"/>
        <v>1070923.5</v>
      </c>
      <c r="H292" s="207">
        <v>14739871</v>
      </c>
      <c r="I292" s="206">
        <v>15000</v>
      </c>
      <c r="J292" s="220">
        <f t="shared" si="26"/>
        <v>982.65806666666663</v>
      </c>
      <c r="K292" s="207">
        <v>2084128</v>
      </c>
      <c r="L292" s="202">
        <v>15000</v>
      </c>
      <c r="M292" s="203">
        <f t="shared" si="25"/>
        <v>138.94186666666667</v>
      </c>
      <c r="N292" s="207">
        <v>57235</v>
      </c>
      <c r="O292" s="202">
        <v>5000</v>
      </c>
      <c r="P292" s="203">
        <f t="shared" si="24"/>
        <v>11.446999999999999</v>
      </c>
    </row>
    <row r="293" spans="1:16" ht="15.75" customHeight="1">
      <c r="A293" s="171" t="s">
        <v>393</v>
      </c>
      <c r="B293" s="183">
        <v>45498</v>
      </c>
      <c r="C293" s="171">
        <v>5</v>
      </c>
      <c r="D293" s="207">
        <v>32450</v>
      </c>
      <c r="E293" s="221">
        <v>686735</v>
      </c>
      <c r="F293" s="207">
        <f t="shared" si="21"/>
        <v>137347</v>
      </c>
      <c r="G293" s="207">
        <f t="shared" si="18"/>
        <v>6490</v>
      </c>
      <c r="H293" s="207">
        <v>149659</v>
      </c>
      <c r="I293" s="206">
        <v>188.8</v>
      </c>
      <c r="J293" s="220">
        <f t="shared" si="26"/>
        <v>792.68538135593212</v>
      </c>
      <c r="K293" s="207">
        <v>22431</v>
      </c>
      <c r="L293" s="202">
        <v>62.92</v>
      </c>
      <c r="M293" s="203">
        <f t="shared" si="25"/>
        <v>356.50031786395419</v>
      </c>
      <c r="N293" s="207">
        <v>1005</v>
      </c>
      <c r="O293" s="202">
        <v>62.79</v>
      </c>
      <c r="P293" s="203">
        <f t="shared" si="24"/>
        <v>16.005733397037744</v>
      </c>
    </row>
    <row r="294" spans="1:16" ht="15.75" customHeight="1">
      <c r="A294" s="171" t="s">
        <v>394</v>
      </c>
      <c r="B294" s="183">
        <v>45514</v>
      </c>
      <c r="C294" s="171">
        <v>5</v>
      </c>
      <c r="D294" s="207">
        <v>359733</v>
      </c>
      <c r="E294" s="221">
        <v>289705</v>
      </c>
      <c r="F294" s="207">
        <f t="shared" ref="F294:F368" si="27">E294/C294</f>
        <v>57941</v>
      </c>
      <c r="G294" s="207">
        <f t="shared" ref="G294:G368" si="28">D294/C294</f>
        <v>71946.600000000006</v>
      </c>
      <c r="H294" s="207">
        <v>856602</v>
      </c>
      <c r="I294" s="206">
        <v>999.85</v>
      </c>
      <c r="J294" s="220">
        <f t="shared" ref="J294:J368" si="29">H294/I294</f>
        <v>856.73050957643648</v>
      </c>
      <c r="K294" s="207">
        <v>350559</v>
      </c>
      <c r="L294" s="202">
        <v>1000</v>
      </c>
      <c r="M294" s="203">
        <f t="shared" ref="M294:M368" si="30">K294/L294</f>
        <v>350.55900000000003</v>
      </c>
      <c r="N294" s="207">
        <v>7014</v>
      </c>
      <c r="O294" s="202">
        <v>500</v>
      </c>
      <c r="P294" s="203">
        <f t="shared" ref="P294:P368" si="31">N294/O294</f>
        <v>14.028</v>
      </c>
    </row>
    <row r="295" spans="1:16" ht="15.75" customHeight="1">
      <c r="A295" s="171" t="s">
        <v>395</v>
      </c>
      <c r="B295" s="183">
        <v>45503</v>
      </c>
      <c r="C295" s="171">
        <v>4</v>
      </c>
      <c r="D295" s="207">
        <v>318638</v>
      </c>
      <c r="E295" s="221">
        <v>730359</v>
      </c>
      <c r="F295" s="207">
        <f t="shared" si="27"/>
        <v>182589.75</v>
      </c>
      <c r="G295" s="207">
        <f t="shared" si="28"/>
        <v>79659.5</v>
      </c>
      <c r="H295" s="207">
        <v>1462853</v>
      </c>
      <c r="I295" s="206">
        <v>2749.97</v>
      </c>
      <c r="J295" s="220">
        <f t="shared" si="29"/>
        <v>531.95234857107539</v>
      </c>
      <c r="K295" s="207">
        <v>314447</v>
      </c>
      <c r="L295" s="202">
        <v>750</v>
      </c>
      <c r="M295" s="203">
        <f t="shared" si="30"/>
        <v>419.26266666666669</v>
      </c>
      <c r="N295" s="207">
        <v>470</v>
      </c>
      <c r="O295" s="202">
        <v>0</v>
      </c>
      <c r="P295" s="203">
        <v>0</v>
      </c>
    </row>
    <row r="296" spans="1:16" ht="15.75" customHeight="1">
      <c r="A296" s="171" t="s">
        <v>396</v>
      </c>
      <c r="B296" s="183">
        <v>45475</v>
      </c>
      <c r="C296" s="171">
        <v>24</v>
      </c>
      <c r="D296" s="207">
        <v>103662</v>
      </c>
      <c r="E296" s="221">
        <v>3205106</v>
      </c>
      <c r="F296" s="207">
        <f t="shared" si="27"/>
        <v>133546.08333333334</v>
      </c>
      <c r="G296" s="207">
        <f t="shared" si="28"/>
        <v>4319.25</v>
      </c>
      <c r="H296" s="207">
        <v>2215509</v>
      </c>
      <c r="I296" s="206">
        <v>2500</v>
      </c>
      <c r="J296" s="220">
        <f t="shared" si="29"/>
        <v>886.20360000000005</v>
      </c>
      <c r="K296" s="207">
        <v>86149</v>
      </c>
      <c r="L296" s="202">
        <v>1000</v>
      </c>
      <c r="M296" s="203">
        <f t="shared" si="30"/>
        <v>86.149000000000001</v>
      </c>
      <c r="N296" s="207">
        <v>5602</v>
      </c>
      <c r="O296" s="202">
        <v>1000</v>
      </c>
      <c r="P296" s="203">
        <f t="shared" si="31"/>
        <v>5.6020000000000003</v>
      </c>
    </row>
    <row r="297" spans="1:16" ht="15.75" customHeight="1">
      <c r="A297" s="171" t="s">
        <v>397</v>
      </c>
      <c r="B297" s="183">
        <v>45486</v>
      </c>
      <c r="C297" s="171">
        <v>10</v>
      </c>
      <c r="D297" s="207">
        <v>295353</v>
      </c>
      <c r="E297" s="225">
        <v>1925934</v>
      </c>
      <c r="F297" s="207">
        <f t="shared" si="27"/>
        <v>192593.4</v>
      </c>
      <c r="G297" s="207">
        <f t="shared" si="28"/>
        <v>29535.3</v>
      </c>
      <c r="H297" s="207">
        <v>2111315</v>
      </c>
      <c r="I297" s="206">
        <v>2771</v>
      </c>
      <c r="J297" s="220">
        <f t="shared" si="29"/>
        <v>761.9325153374233</v>
      </c>
      <c r="K297" s="207">
        <v>277098</v>
      </c>
      <c r="L297" s="202">
        <v>429.41</v>
      </c>
      <c r="M297" s="203">
        <f t="shared" si="30"/>
        <v>645.2993642439626</v>
      </c>
      <c r="N297" s="207">
        <v>10941</v>
      </c>
      <c r="O297" s="202">
        <v>1000</v>
      </c>
      <c r="P297" s="203">
        <f t="shared" si="31"/>
        <v>10.941000000000001</v>
      </c>
    </row>
    <row r="298" spans="1:16" ht="15.75" customHeight="1">
      <c r="A298" s="171" t="s">
        <v>398</v>
      </c>
      <c r="B298" s="183">
        <v>45516</v>
      </c>
      <c r="C298" s="171">
        <v>10</v>
      </c>
      <c r="D298" s="207">
        <v>229038</v>
      </c>
      <c r="E298" s="225">
        <v>1374463</v>
      </c>
      <c r="F298" s="207">
        <f t="shared" si="27"/>
        <v>137446.29999999999</v>
      </c>
      <c r="G298" s="207">
        <f t="shared" si="28"/>
        <v>22903.8</v>
      </c>
      <c r="H298" s="207">
        <v>1983640</v>
      </c>
      <c r="I298" s="206">
        <v>2000</v>
      </c>
      <c r="J298" s="220">
        <f t="shared" si="29"/>
        <v>991.82</v>
      </c>
      <c r="K298" s="207">
        <v>218391</v>
      </c>
      <c r="L298" s="202">
        <v>1000</v>
      </c>
      <c r="M298" s="203">
        <f t="shared" si="30"/>
        <v>218.39099999999999</v>
      </c>
      <c r="N298" s="207">
        <v>3997</v>
      </c>
      <c r="O298" s="202">
        <v>500</v>
      </c>
      <c r="P298" s="203">
        <f t="shared" si="31"/>
        <v>7.9939999999999998</v>
      </c>
    </row>
    <row r="299" spans="1:16" ht="15.75" customHeight="1">
      <c r="A299" s="171" t="s">
        <v>399</v>
      </c>
      <c r="B299" s="183">
        <v>45488</v>
      </c>
      <c r="C299" s="171">
        <v>12</v>
      </c>
      <c r="D299" s="207">
        <v>250016</v>
      </c>
      <c r="E299" s="225">
        <v>1656598</v>
      </c>
      <c r="F299" s="207">
        <f t="shared" si="27"/>
        <v>138049.83333333334</v>
      </c>
      <c r="G299" s="207">
        <f t="shared" si="28"/>
        <v>20834.666666666668</v>
      </c>
      <c r="H299" s="207">
        <v>2716778</v>
      </c>
      <c r="I299" s="206">
        <v>2647</v>
      </c>
      <c r="J299" s="220">
        <f t="shared" si="29"/>
        <v>1026.3611635814129</v>
      </c>
      <c r="K299" s="207">
        <v>220608</v>
      </c>
      <c r="L299" s="202">
        <v>854.13</v>
      </c>
      <c r="M299" s="203">
        <f t="shared" si="30"/>
        <v>258.28386779530047</v>
      </c>
      <c r="N299" s="207">
        <v>23124</v>
      </c>
      <c r="O299" s="202">
        <v>1500</v>
      </c>
      <c r="P299" s="203">
        <f t="shared" si="31"/>
        <v>15.416</v>
      </c>
    </row>
    <row r="300" spans="1:16" ht="15.75" customHeight="1">
      <c r="A300" s="171" t="s">
        <v>400</v>
      </c>
      <c r="B300" s="183">
        <v>45538</v>
      </c>
      <c r="C300" s="171">
        <v>8</v>
      </c>
      <c r="D300" s="207">
        <v>373453</v>
      </c>
      <c r="E300" s="225">
        <v>566879</v>
      </c>
      <c r="F300" s="207">
        <f t="shared" si="27"/>
        <v>70859.875</v>
      </c>
      <c r="G300" s="207">
        <f t="shared" si="28"/>
        <v>46681.625</v>
      </c>
      <c r="H300" s="207">
        <v>2556997</v>
      </c>
      <c r="I300" s="206">
        <v>3400</v>
      </c>
      <c r="J300" s="220">
        <f t="shared" si="29"/>
        <v>752.05794117647054</v>
      </c>
      <c r="K300" s="207">
        <v>358737</v>
      </c>
      <c r="L300" s="202">
        <v>466.56</v>
      </c>
      <c r="M300" s="203">
        <f t="shared" si="30"/>
        <v>768.897890946502</v>
      </c>
      <c r="N300" s="207">
        <v>10916</v>
      </c>
      <c r="O300" s="202">
        <v>1000</v>
      </c>
      <c r="P300" s="203">
        <f t="shared" si="31"/>
        <v>10.916</v>
      </c>
    </row>
    <row r="301" spans="1:16" ht="15.75" customHeight="1">
      <c r="A301" s="171" t="s">
        <v>401</v>
      </c>
      <c r="B301" s="183">
        <v>45512</v>
      </c>
      <c r="C301" s="171">
        <v>3</v>
      </c>
      <c r="D301" s="207">
        <v>3220546</v>
      </c>
      <c r="E301" s="225">
        <v>3959921</v>
      </c>
      <c r="F301" s="207">
        <f t="shared" si="27"/>
        <v>1319973.6666666667</v>
      </c>
      <c r="G301" s="207">
        <f t="shared" si="28"/>
        <v>1073515.3333333333</v>
      </c>
      <c r="H301" s="207">
        <v>24865133</v>
      </c>
      <c r="I301" s="206">
        <v>24237.98</v>
      </c>
      <c r="J301" s="220">
        <f t="shared" si="29"/>
        <v>1025.8748047485806</v>
      </c>
      <c r="K301" s="207">
        <v>3062820</v>
      </c>
      <c r="L301" s="202">
        <v>15449.62</v>
      </c>
      <c r="M301" s="203">
        <f t="shared" si="30"/>
        <v>198.2456526438838</v>
      </c>
      <c r="N301" s="207">
        <v>144983</v>
      </c>
      <c r="O301" s="202">
        <v>33000</v>
      </c>
      <c r="P301" s="203">
        <f t="shared" si="31"/>
        <v>4.393424242424242</v>
      </c>
    </row>
    <row r="302" spans="1:16" ht="15.75" customHeight="1">
      <c r="A302" s="171" t="s">
        <v>402</v>
      </c>
      <c r="B302" s="183">
        <v>45532</v>
      </c>
      <c r="C302" s="171">
        <v>27</v>
      </c>
      <c r="D302" s="207">
        <v>81604</v>
      </c>
      <c r="E302" s="225">
        <v>5425991</v>
      </c>
      <c r="F302" s="207">
        <f t="shared" si="27"/>
        <v>200962.62962962964</v>
      </c>
      <c r="G302" s="207">
        <f t="shared" si="28"/>
        <v>3022.3703703703704</v>
      </c>
      <c r="H302" s="207">
        <v>815045</v>
      </c>
      <c r="I302" s="206">
        <v>628.11</v>
      </c>
      <c r="J302" s="220">
        <f t="shared" si="29"/>
        <v>1297.6150674244957</v>
      </c>
      <c r="K302" s="207">
        <v>51742</v>
      </c>
      <c r="L302" s="202">
        <v>1000</v>
      </c>
      <c r="M302" s="203">
        <f t="shared" si="30"/>
        <v>51.741999999999997</v>
      </c>
      <c r="N302" s="207">
        <v>10570</v>
      </c>
      <c r="O302" s="202">
        <v>1370.11</v>
      </c>
      <c r="P302" s="203">
        <f t="shared" si="31"/>
        <v>7.7147090379604562</v>
      </c>
    </row>
    <row r="303" spans="1:16" ht="15.75" customHeight="1">
      <c r="A303" s="171" t="s">
        <v>403</v>
      </c>
      <c r="B303" s="183">
        <v>45533</v>
      </c>
      <c r="C303" s="171">
        <v>10</v>
      </c>
      <c r="D303" s="207">
        <v>124555</v>
      </c>
      <c r="E303" s="225">
        <v>791209</v>
      </c>
      <c r="F303" s="207">
        <f t="shared" si="27"/>
        <v>79120.899999999994</v>
      </c>
      <c r="G303" s="207">
        <f t="shared" si="28"/>
        <v>12455.5</v>
      </c>
      <c r="H303" s="207">
        <v>1834010</v>
      </c>
      <c r="I303" s="206">
        <v>3000</v>
      </c>
      <c r="J303" s="220">
        <f t="shared" si="29"/>
        <v>611.3366666666667</v>
      </c>
      <c r="K303" s="207">
        <v>102284</v>
      </c>
      <c r="L303" s="202">
        <v>1000</v>
      </c>
      <c r="M303" s="203">
        <f t="shared" si="30"/>
        <v>102.28400000000001</v>
      </c>
      <c r="N303" s="207">
        <v>6755</v>
      </c>
      <c r="O303" s="202">
        <v>500</v>
      </c>
      <c r="P303" s="203">
        <f t="shared" si="31"/>
        <v>13.51</v>
      </c>
    </row>
    <row r="304" spans="1:16" ht="15.75" customHeight="1">
      <c r="A304" s="171" t="s">
        <v>404</v>
      </c>
      <c r="B304" s="183">
        <v>45531</v>
      </c>
      <c r="C304" s="171">
        <v>10</v>
      </c>
      <c r="D304" s="207">
        <v>87134</v>
      </c>
      <c r="E304" s="225">
        <v>851882</v>
      </c>
      <c r="F304" s="207">
        <f t="shared" si="27"/>
        <v>85188.2</v>
      </c>
      <c r="G304" s="207">
        <f t="shared" si="28"/>
        <v>8713.4</v>
      </c>
      <c r="H304" s="207">
        <v>819393</v>
      </c>
      <c r="I304" s="206">
        <v>885.99</v>
      </c>
      <c r="J304" s="220">
        <f t="shared" si="29"/>
        <v>924.83323739545597</v>
      </c>
      <c r="K304" s="207">
        <v>83276</v>
      </c>
      <c r="L304" s="202">
        <v>600</v>
      </c>
      <c r="M304" s="203">
        <f t="shared" si="30"/>
        <v>138.79333333333332</v>
      </c>
      <c r="N304" s="207">
        <v>2625</v>
      </c>
      <c r="O304" s="202">
        <v>169.6</v>
      </c>
      <c r="P304" s="203">
        <f t="shared" si="31"/>
        <v>15.477594339622643</v>
      </c>
    </row>
    <row r="305" spans="1:16" ht="15.75" customHeight="1">
      <c r="A305" s="171" t="s">
        <v>405</v>
      </c>
      <c r="B305" s="183">
        <v>45541</v>
      </c>
      <c r="C305" s="171">
        <v>3</v>
      </c>
      <c r="D305" s="207">
        <v>23544</v>
      </c>
      <c r="E305" s="225">
        <v>507986</v>
      </c>
      <c r="F305" s="207">
        <f t="shared" si="27"/>
        <v>169328.66666666666</v>
      </c>
      <c r="G305" s="207">
        <f t="shared" si="28"/>
        <v>7848</v>
      </c>
      <c r="H305" s="207">
        <v>151628</v>
      </c>
      <c r="I305" s="206">
        <v>194.27</v>
      </c>
      <c r="J305" s="220">
        <f t="shared" si="29"/>
        <v>780.50136408091828</v>
      </c>
      <c r="K305" s="207">
        <v>22759</v>
      </c>
      <c r="L305" s="202">
        <v>78.78</v>
      </c>
      <c r="M305" s="203">
        <f t="shared" si="30"/>
        <v>288.89312008123886</v>
      </c>
      <c r="N305" s="207">
        <v>680</v>
      </c>
      <c r="O305" s="202">
        <v>102.64</v>
      </c>
      <c r="P305" s="203">
        <f t="shared" si="31"/>
        <v>6.6250974279033512</v>
      </c>
    </row>
    <row r="306" spans="1:16" ht="15.75" customHeight="1">
      <c r="A306" s="171" t="s">
        <v>406</v>
      </c>
      <c r="B306" s="183">
        <v>45538</v>
      </c>
      <c r="C306" s="171">
        <v>9</v>
      </c>
      <c r="D306" s="207">
        <v>84910</v>
      </c>
      <c r="E306" s="225">
        <v>1568950</v>
      </c>
      <c r="F306" s="207">
        <f t="shared" si="27"/>
        <v>174327.77777777778</v>
      </c>
      <c r="G306" s="207">
        <f t="shared" si="28"/>
        <v>9434.4444444444453</v>
      </c>
      <c r="H306" s="207">
        <v>278258</v>
      </c>
      <c r="I306" s="206">
        <v>164.5</v>
      </c>
      <c r="J306" s="220">
        <f t="shared" si="29"/>
        <v>1691.5379939209727</v>
      </c>
      <c r="K306" s="207">
        <v>64836</v>
      </c>
      <c r="L306" s="202">
        <v>551.84</v>
      </c>
      <c r="M306" s="203">
        <f t="shared" si="30"/>
        <v>117.49057697883444</v>
      </c>
      <c r="N306" s="207">
        <v>5593</v>
      </c>
      <c r="O306" s="202">
        <v>162.74</v>
      </c>
      <c r="P306" s="203">
        <f t="shared" si="31"/>
        <v>34.367703084674943</v>
      </c>
    </row>
    <row r="307" spans="1:16" ht="15.75" customHeight="1">
      <c r="A307" s="171" t="s">
        <v>418</v>
      </c>
      <c r="B307" s="183">
        <v>45546</v>
      </c>
      <c r="C307" s="171">
        <v>6</v>
      </c>
      <c r="D307" s="207">
        <v>35149</v>
      </c>
      <c r="E307" s="225">
        <v>292680</v>
      </c>
      <c r="F307" s="207">
        <f t="shared" si="27"/>
        <v>48780</v>
      </c>
      <c r="G307" s="207">
        <f t="shared" si="28"/>
        <v>5858.166666666667</v>
      </c>
      <c r="H307" s="207">
        <v>159898</v>
      </c>
      <c r="I307" s="206">
        <v>100</v>
      </c>
      <c r="J307" s="220">
        <f t="shared" si="29"/>
        <v>1598.98</v>
      </c>
      <c r="K307" s="207">
        <v>30701</v>
      </c>
      <c r="L307" s="202">
        <v>100</v>
      </c>
      <c r="M307" s="203">
        <f t="shared" si="30"/>
        <v>307.01</v>
      </c>
      <c r="N307" s="207">
        <v>1048</v>
      </c>
      <c r="O307" s="202">
        <v>100</v>
      </c>
      <c r="P307" s="203">
        <f t="shared" si="31"/>
        <v>10.48</v>
      </c>
    </row>
    <row r="308" spans="1:16" ht="15.75" customHeight="1">
      <c r="A308" s="171" t="s">
        <v>419</v>
      </c>
      <c r="B308" s="183">
        <v>45570</v>
      </c>
      <c r="C308" s="171">
        <v>6</v>
      </c>
      <c r="D308" s="207">
        <v>8072</v>
      </c>
      <c r="E308" s="225">
        <v>599477</v>
      </c>
      <c r="F308" s="207">
        <f t="shared" si="27"/>
        <v>99912.833333333328</v>
      </c>
      <c r="G308" s="207">
        <f t="shared" si="28"/>
        <v>1345.3333333333333</v>
      </c>
      <c r="H308" s="207">
        <v>288620</v>
      </c>
      <c r="I308" s="206">
        <v>250</v>
      </c>
      <c r="J308" s="220">
        <f t="shared" si="29"/>
        <v>1154.48</v>
      </c>
      <c r="K308" s="207">
        <v>2823</v>
      </c>
      <c r="L308" s="202">
        <v>100</v>
      </c>
      <c r="M308" s="203">
        <f t="shared" si="30"/>
        <v>28.23</v>
      </c>
      <c r="N308" s="207">
        <v>2076</v>
      </c>
      <c r="O308" s="202">
        <v>150</v>
      </c>
      <c r="P308" s="203">
        <f t="shared" si="31"/>
        <v>13.84</v>
      </c>
    </row>
    <row r="309" spans="1:16" ht="15.75" customHeight="1">
      <c r="A309" s="171" t="s">
        <v>373</v>
      </c>
      <c r="B309" s="183">
        <v>45536</v>
      </c>
      <c r="C309" s="171">
        <v>2</v>
      </c>
      <c r="D309" s="207">
        <v>298470</v>
      </c>
      <c r="E309" s="225">
        <v>4641350</v>
      </c>
      <c r="F309" s="207">
        <f t="shared" si="27"/>
        <v>2320675</v>
      </c>
      <c r="G309" s="207">
        <f t="shared" si="28"/>
        <v>149235</v>
      </c>
      <c r="H309" s="207">
        <v>724344</v>
      </c>
      <c r="I309" s="206">
        <v>500</v>
      </c>
      <c r="J309" s="220">
        <f t="shared" si="29"/>
        <v>1448.6880000000001</v>
      </c>
      <c r="K309" s="207">
        <v>263346</v>
      </c>
      <c r="L309" s="202">
        <v>1000</v>
      </c>
      <c r="M309" s="203">
        <f t="shared" si="30"/>
        <v>263.346</v>
      </c>
      <c r="N309" s="207">
        <v>16433</v>
      </c>
      <c r="O309" s="202">
        <v>1000</v>
      </c>
      <c r="P309" s="203">
        <f t="shared" si="31"/>
        <v>16.433</v>
      </c>
    </row>
    <row r="310" spans="1:16" ht="15.75" customHeight="1">
      <c r="A310" s="171" t="s">
        <v>407</v>
      </c>
      <c r="B310" s="183">
        <v>45586</v>
      </c>
      <c r="C310" s="171">
        <v>10</v>
      </c>
      <c r="D310" s="207">
        <v>501706</v>
      </c>
      <c r="E310" s="225">
        <v>2228809</v>
      </c>
      <c r="F310" s="207">
        <f t="shared" si="27"/>
        <v>222880.9</v>
      </c>
      <c r="G310" s="207">
        <f t="shared" si="28"/>
        <v>50170.6</v>
      </c>
      <c r="H310" s="207">
        <v>1703709</v>
      </c>
      <c r="I310" s="206">
        <v>1200</v>
      </c>
      <c r="J310" s="220">
        <f t="shared" si="29"/>
        <v>1419.7574999999999</v>
      </c>
      <c r="K310" s="207">
        <v>476717</v>
      </c>
      <c r="L310" s="202">
        <v>1000</v>
      </c>
      <c r="M310" s="203">
        <f t="shared" si="30"/>
        <v>476.71699999999998</v>
      </c>
      <c r="N310" s="207">
        <v>16009</v>
      </c>
      <c r="O310" s="202">
        <v>2300</v>
      </c>
      <c r="P310" s="203">
        <f t="shared" si="31"/>
        <v>6.9604347826086954</v>
      </c>
    </row>
    <row r="311" spans="1:16" ht="15.75" customHeight="1">
      <c r="A311" s="171" t="s">
        <v>235</v>
      </c>
      <c r="B311" s="183">
        <v>45566</v>
      </c>
      <c r="C311" s="171">
        <v>30</v>
      </c>
      <c r="D311" s="207">
        <v>454516</v>
      </c>
      <c r="E311" s="225">
        <v>3366741</v>
      </c>
      <c r="F311" s="207">
        <f t="shared" si="27"/>
        <v>112224.7</v>
      </c>
      <c r="G311" s="207">
        <f t="shared" si="28"/>
        <v>15150.533333333333</v>
      </c>
      <c r="H311" s="207">
        <v>2453908</v>
      </c>
      <c r="I311" s="206">
        <v>2000</v>
      </c>
      <c r="J311" s="220">
        <f t="shared" si="29"/>
        <v>1226.954</v>
      </c>
      <c r="K311" s="207">
        <v>423056</v>
      </c>
      <c r="L311" s="202">
        <v>2000</v>
      </c>
      <c r="M311" s="203">
        <f t="shared" si="30"/>
        <v>211.52799999999999</v>
      </c>
      <c r="N311" s="207">
        <v>13757</v>
      </c>
      <c r="O311" s="202">
        <v>1000</v>
      </c>
      <c r="P311" s="203">
        <f t="shared" si="31"/>
        <v>13.757</v>
      </c>
    </row>
    <row r="312" spans="1:16" ht="15.75" customHeight="1">
      <c r="A312" s="171" t="s">
        <v>380</v>
      </c>
      <c r="B312" s="183">
        <v>45567</v>
      </c>
      <c r="C312" s="171">
        <v>15</v>
      </c>
      <c r="D312" s="207">
        <v>63202</v>
      </c>
      <c r="E312" s="225">
        <v>1706562</v>
      </c>
      <c r="F312" s="207">
        <f t="shared" si="27"/>
        <v>113770.8</v>
      </c>
      <c r="G312" s="207">
        <f t="shared" si="28"/>
        <v>4213.4666666666662</v>
      </c>
      <c r="H312" s="207">
        <v>454895</v>
      </c>
      <c r="I312" s="206">
        <v>390.39</v>
      </c>
      <c r="J312" s="220">
        <f t="shared" si="29"/>
        <v>1165.2322036937421</v>
      </c>
      <c r="K312" s="207">
        <v>49963</v>
      </c>
      <c r="L312" s="202">
        <v>323.05</v>
      </c>
      <c r="M312" s="203">
        <f t="shared" si="30"/>
        <v>154.66026930815661</v>
      </c>
      <c r="N312" s="207">
        <v>3030</v>
      </c>
      <c r="O312" s="202">
        <v>267.82</v>
      </c>
      <c r="P312" s="203">
        <f t="shared" si="31"/>
        <v>11.313568814875664</v>
      </c>
    </row>
    <row r="313" spans="1:16" ht="15.75" customHeight="1">
      <c r="A313" s="171" t="s">
        <v>408</v>
      </c>
      <c r="B313" s="183">
        <v>45498</v>
      </c>
      <c r="C313" s="171">
        <v>30</v>
      </c>
      <c r="D313" s="207">
        <v>358952</v>
      </c>
      <c r="E313" s="225">
        <v>2526353</v>
      </c>
      <c r="F313" s="207">
        <f t="shared" si="27"/>
        <v>84211.766666666663</v>
      </c>
      <c r="G313" s="207">
        <f t="shared" si="28"/>
        <v>11965.066666666668</v>
      </c>
      <c r="H313" s="207">
        <v>4200810</v>
      </c>
      <c r="I313" s="206">
        <v>4734</v>
      </c>
      <c r="J313" s="220">
        <f t="shared" si="29"/>
        <v>887.3700887198986</v>
      </c>
      <c r="K313" s="207">
        <v>325022</v>
      </c>
      <c r="L313" s="202">
        <v>1266.0999999999999</v>
      </c>
      <c r="M313" s="203">
        <f t="shared" si="30"/>
        <v>256.71116025590396</v>
      </c>
      <c r="N313" s="207">
        <v>18070</v>
      </c>
      <c r="O313" s="202">
        <v>2000</v>
      </c>
      <c r="P313" s="203">
        <f t="shared" si="31"/>
        <v>9.0350000000000001</v>
      </c>
    </row>
    <row r="314" spans="1:16" ht="15.75" customHeight="1">
      <c r="A314" s="171" t="s">
        <v>409</v>
      </c>
      <c r="B314" s="183">
        <v>45566</v>
      </c>
      <c r="C314" s="171">
        <v>10</v>
      </c>
      <c r="D314" s="207">
        <v>303342</v>
      </c>
      <c r="E314" s="225">
        <v>1292358</v>
      </c>
      <c r="F314" s="207">
        <f t="shared" si="27"/>
        <v>129235.8</v>
      </c>
      <c r="G314" s="207">
        <f t="shared" si="28"/>
        <v>30334.2</v>
      </c>
      <c r="H314" s="207">
        <v>2502963</v>
      </c>
      <c r="I314" s="206">
        <v>2000</v>
      </c>
      <c r="J314" s="220">
        <f t="shared" si="29"/>
        <v>1251.4815000000001</v>
      </c>
      <c r="K314" s="207">
        <v>282959</v>
      </c>
      <c r="L314" s="202">
        <v>1000</v>
      </c>
      <c r="M314" s="203">
        <f t="shared" si="30"/>
        <v>282.959</v>
      </c>
      <c r="N314" s="207">
        <v>12543</v>
      </c>
      <c r="O314" s="202">
        <v>1500</v>
      </c>
      <c r="P314" s="203">
        <f t="shared" si="31"/>
        <v>8.3620000000000001</v>
      </c>
    </row>
    <row r="315" spans="1:16" ht="15.75" customHeight="1">
      <c r="A315" s="171" t="s">
        <v>410</v>
      </c>
      <c r="B315" s="183">
        <v>45566</v>
      </c>
      <c r="C315" s="171">
        <v>18</v>
      </c>
      <c r="D315" s="207">
        <v>411791</v>
      </c>
      <c r="E315" s="225">
        <v>1307377</v>
      </c>
      <c r="F315" s="207">
        <f t="shared" si="27"/>
        <v>72632.055555555562</v>
      </c>
      <c r="G315" s="207">
        <f t="shared" si="28"/>
        <v>22877.277777777777</v>
      </c>
      <c r="H315" s="207">
        <v>2465207</v>
      </c>
      <c r="I315" s="206">
        <v>3155</v>
      </c>
      <c r="J315" s="220">
        <f t="shared" si="29"/>
        <v>781.36513470681462</v>
      </c>
      <c r="K315" s="207">
        <v>393127</v>
      </c>
      <c r="L315" s="202">
        <v>844.52</v>
      </c>
      <c r="M315" s="203">
        <f t="shared" si="30"/>
        <v>465.50348126746553</v>
      </c>
      <c r="N315" s="207">
        <v>12104</v>
      </c>
      <c r="O315" s="202">
        <v>1000</v>
      </c>
      <c r="P315" s="203">
        <f t="shared" si="31"/>
        <v>12.103999999999999</v>
      </c>
    </row>
    <row r="316" spans="1:16" ht="15.75" customHeight="1">
      <c r="A316" s="171" t="s">
        <v>420</v>
      </c>
      <c r="B316" s="183">
        <v>45597</v>
      </c>
      <c r="C316" s="171">
        <v>7</v>
      </c>
      <c r="D316" s="207">
        <v>63837</v>
      </c>
      <c r="E316" s="225">
        <v>714482</v>
      </c>
      <c r="F316" s="207">
        <f t="shared" si="27"/>
        <v>102068.85714285714</v>
      </c>
      <c r="G316" s="207">
        <f t="shared" si="28"/>
        <v>9119.5714285714294</v>
      </c>
      <c r="H316" s="207">
        <v>240619</v>
      </c>
      <c r="I316" s="206">
        <v>250</v>
      </c>
      <c r="J316" s="220">
        <f t="shared" si="29"/>
        <v>962.476</v>
      </c>
      <c r="K316" s="207">
        <v>57293</v>
      </c>
      <c r="L316" s="202">
        <v>100</v>
      </c>
      <c r="M316" s="203">
        <f t="shared" si="30"/>
        <v>572.92999999999995</v>
      </c>
      <c r="N316" s="207">
        <v>1688</v>
      </c>
      <c r="O316" s="202">
        <v>150</v>
      </c>
      <c r="P316" s="203">
        <f t="shared" si="31"/>
        <v>11.253333333333334</v>
      </c>
    </row>
    <row r="317" spans="1:16" ht="15.75" customHeight="1">
      <c r="A317" s="171" t="s">
        <v>411</v>
      </c>
      <c r="B317" s="183">
        <v>45595</v>
      </c>
      <c r="C317" s="171">
        <v>3</v>
      </c>
      <c r="D317" s="207">
        <v>80976</v>
      </c>
      <c r="E317" s="225">
        <v>855764</v>
      </c>
      <c r="F317" s="207">
        <f t="shared" si="27"/>
        <v>285254.66666666669</v>
      </c>
      <c r="G317" s="207">
        <f t="shared" si="28"/>
        <v>26992</v>
      </c>
      <c r="H317" s="207">
        <v>2454060</v>
      </c>
      <c r="I317" s="206">
        <v>3099.76</v>
      </c>
      <c r="J317" s="220">
        <f t="shared" si="29"/>
        <v>791.69355046842327</v>
      </c>
      <c r="K317" s="207">
        <v>69845</v>
      </c>
      <c r="L317" s="202">
        <v>2144.6799999999998</v>
      </c>
      <c r="M317" s="203">
        <f t="shared" si="30"/>
        <v>32.566629986757931</v>
      </c>
      <c r="N317" s="207">
        <v>9466</v>
      </c>
      <c r="O317" s="202">
        <v>1700</v>
      </c>
      <c r="P317" s="203">
        <f t="shared" si="31"/>
        <v>5.5682352941176472</v>
      </c>
    </row>
    <row r="318" spans="1:16" ht="15.75" customHeight="1">
      <c r="A318" s="171" t="s">
        <v>412</v>
      </c>
      <c r="B318" s="183">
        <v>45640</v>
      </c>
      <c r="C318" s="171">
        <v>10</v>
      </c>
      <c r="D318" s="207">
        <v>168446</v>
      </c>
      <c r="E318" s="225">
        <v>696646</v>
      </c>
      <c r="F318" s="207">
        <f t="shared" si="27"/>
        <v>69664.600000000006</v>
      </c>
      <c r="G318" s="207">
        <f t="shared" si="28"/>
        <v>16844.599999999999</v>
      </c>
      <c r="H318" s="207">
        <v>2009941</v>
      </c>
      <c r="I318" s="206">
        <v>1999.64</v>
      </c>
      <c r="J318" s="220">
        <f t="shared" si="29"/>
        <v>1005.1514272569062</v>
      </c>
      <c r="K318" s="207">
        <v>155955</v>
      </c>
      <c r="L318" s="202">
        <v>999.99</v>
      </c>
      <c r="M318" s="203">
        <f t="shared" si="30"/>
        <v>155.95655956559565</v>
      </c>
      <c r="N318" s="207">
        <v>7463</v>
      </c>
      <c r="O318" s="202">
        <v>1000</v>
      </c>
      <c r="P318" s="203">
        <f t="shared" si="31"/>
        <v>7.4630000000000001</v>
      </c>
    </row>
    <row r="319" spans="1:16" ht="15.75" customHeight="1">
      <c r="A319" s="171" t="s">
        <v>413</v>
      </c>
      <c r="B319" s="183">
        <v>45562</v>
      </c>
      <c r="C319" s="171">
        <v>13</v>
      </c>
      <c r="D319" s="207">
        <v>165763</v>
      </c>
      <c r="E319" s="225">
        <v>2282876</v>
      </c>
      <c r="F319" s="207">
        <f t="shared" si="27"/>
        <v>175605.84615384616</v>
      </c>
      <c r="G319" s="207">
        <f t="shared" si="28"/>
        <v>12751</v>
      </c>
      <c r="H319" s="207">
        <v>636157</v>
      </c>
      <c r="I319" s="206">
        <v>800</v>
      </c>
      <c r="J319" s="220">
        <f t="shared" si="29"/>
        <v>795.19624999999996</v>
      </c>
      <c r="K319" s="207">
        <v>146945</v>
      </c>
      <c r="L319" s="202">
        <v>400</v>
      </c>
      <c r="M319" s="203">
        <f t="shared" si="30"/>
        <v>367.36250000000001</v>
      </c>
      <c r="N319" s="207">
        <v>7164</v>
      </c>
      <c r="O319" s="202">
        <v>300</v>
      </c>
      <c r="P319" s="203">
        <f t="shared" si="31"/>
        <v>23.88</v>
      </c>
    </row>
    <row r="320" spans="1:16" ht="15.75" customHeight="1">
      <c r="A320" s="171" t="s">
        <v>414</v>
      </c>
      <c r="B320" s="183">
        <v>45573</v>
      </c>
      <c r="C320" s="171">
        <v>9</v>
      </c>
      <c r="D320" s="207">
        <v>127781</v>
      </c>
      <c r="E320" s="225">
        <v>1174119</v>
      </c>
      <c r="F320" s="207">
        <f t="shared" si="27"/>
        <v>130457.66666666667</v>
      </c>
      <c r="G320" s="207">
        <f t="shared" si="28"/>
        <v>14197.888888888889</v>
      </c>
      <c r="H320" s="207">
        <v>868224</v>
      </c>
      <c r="I320" s="206">
        <v>856</v>
      </c>
      <c r="J320" s="220">
        <f t="shared" si="29"/>
        <v>1014.2803738317757</v>
      </c>
      <c r="K320" s="207">
        <v>119172</v>
      </c>
      <c r="L320" s="202">
        <v>363.24</v>
      </c>
      <c r="M320" s="203">
        <f t="shared" si="30"/>
        <v>328.08060786257022</v>
      </c>
      <c r="N320" s="207">
        <v>3949</v>
      </c>
      <c r="O320" s="202">
        <v>270.83999999999997</v>
      </c>
      <c r="P320" s="203">
        <f t="shared" si="31"/>
        <v>14.580564170728106</v>
      </c>
    </row>
    <row r="321" spans="1:16" ht="15.75" customHeight="1">
      <c r="A321" s="223" t="s">
        <v>415</v>
      </c>
      <c r="B321" s="183">
        <v>45611</v>
      </c>
      <c r="C321" s="182">
        <v>46</v>
      </c>
      <c r="D321" s="224">
        <v>664959</v>
      </c>
      <c r="E321" s="226">
        <v>5160349</v>
      </c>
      <c r="F321" s="207">
        <f t="shared" si="27"/>
        <v>112181.5</v>
      </c>
      <c r="G321" s="224">
        <f t="shared" si="28"/>
        <v>14455.630434782608</v>
      </c>
      <c r="H321" s="224">
        <v>4576442</v>
      </c>
      <c r="I321" s="206">
        <v>6828.95</v>
      </c>
      <c r="J321" s="220">
        <f t="shared" si="29"/>
        <v>670.15309820689856</v>
      </c>
      <c r="K321" s="207">
        <v>635372</v>
      </c>
      <c r="L321" s="202">
        <v>3266.65</v>
      </c>
      <c r="M321" s="203">
        <f t="shared" si="30"/>
        <v>194.50262501339293</v>
      </c>
      <c r="N321" s="207">
        <v>10221</v>
      </c>
      <c r="O321" s="202">
        <v>1766.64</v>
      </c>
      <c r="P321" s="203">
        <f t="shared" si="31"/>
        <v>5.7855590273060722</v>
      </c>
    </row>
    <row r="322" spans="1:16" ht="15.75" customHeight="1">
      <c r="A322" s="171" t="s">
        <v>423</v>
      </c>
      <c r="B322" s="183">
        <v>45610</v>
      </c>
      <c r="C322" s="171">
        <v>34</v>
      </c>
      <c r="D322" s="207">
        <v>393354</v>
      </c>
      <c r="E322" s="225">
        <v>2941905</v>
      </c>
      <c r="F322" s="207">
        <f t="shared" si="27"/>
        <v>86526.617647058825</v>
      </c>
      <c r="G322" s="207">
        <f t="shared" si="28"/>
        <v>11569.235294117647</v>
      </c>
      <c r="H322" s="207">
        <v>2973740</v>
      </c>
      <c r="I322" s="206">
        <v>2999.57</v>
      </c>
      <c r="J322" s="220">
        <f t="shared" si="29"/>
        <v>991.38876572308698</v>
      </c>
      <c r="K322" s="207">
        <v>363919</v>
      </c>
      <c r="L322" s="202">
        <v>1999.98</v>
      </c>
      <c r="M322" s="203">
        <f t="shared" si="30"/>
        <v>181.96131961319614</v>
      </c>
      <c r="N322" s="207">
        <v>11509</v>
      </c>
      <c r="O322" s="202">
        <v>999.78</v>
      </c>
      <c r="P322" s="203">
        <f t="shared" si="31"/>
        <v>11.511532537158175</v>
      </c>
    </row>
    <row r="323" spans="1:16" ht="15.75" customHeight="1">
      <c r="A323" s="171" t="s">
        <v>416</v>
      </c>
      <c r="B323" s="183">
        <v>38323</v>
      </c>
      <c r="C323" s="171">
        <v>2</v>
      </c>
      <c r="D323" s="207">
        <v>3541430</v>
      </c>
      <c r="E323" s="225">
        <v>1041834</v>
      </c>
      <c r="F323" s="207">
        <f t="shared" si="27"/>
        <v>520917</v>
      </c>
      <c r="G323" s="207">
        <f t="shared" si="28"/>
        <v>1770715</v>
      </c>
      <c r="H323" s="207">
        <v>19530439</v>
      </c>
      <c r="I323" s="206">
        <v>41399.79</v>
      </c>
      <c r="J323" s="220">
        <f t="shared" si="29"/>
        <v>471.75212724508987</v>
      </c>
      <c r="K323" s="207">
        <v>3479623</v>
      </c>
      <c r="L323" s="202">
        <v>13489.99</v>
      </c>
      <c r="M323" s="203">
        <f t="shared" si="30"/>
        <v>257.94111040853255</v>
      </c>
      <c r="N323" s="207">
        <v>57699</v>
      </c>
      <c r="O323" s="202">
        <v>14710.49</v>
      </c>
      <c r="P323" s="203">
        <f t="shared" si="31"/>
        <v>3.9223030640039864</v>
      </c>
    </row>
    <row r="324" spans="1:16" ht="15.75" customHeight="1">
      <c r="A324" s="171" t="s">
        <v>417</v>
      </c>
      <c r="B324" s="183">
        <v>45583</v>
      </c>
      <c r="C324" s="171">
        <v>8</v>
      </c>
      <c r="D324" s="207">
        <v>268962</v>
      </c>
      <c r="E324" s="225">
        <v>3372921</v>
      </c>
      <c r="F324" s="207">
        <f t="shared" si="27"/>
        <v>421615.125</v>
      </c>
      <c r="G324" s="207">
        <f t="shared" si="28"/>
        <v>33620.25</v>
      </c>
      <c r="H324" s="207">
        <v>1032183</v>
      </c>
      <c r="I324" s="206">
        <v>800</v>
      </c>
      <c r="J324" s="220">
        <f t="shared" si="29"/>
        <v>1290.22875</v>
      </c>
      <c r="K324" s="207">
        <v>206480</v>
      </c>
      <c r="L324" s="202">
        <v>400</v>
      </c>
      <c r="M324" s="203">
        <f t="shared" si="30"/>
        <v>516.20000000000005</v>
      </c>
      <c r="N324" s="207">
        <v>21515</v>
      </c>
      <c r="O324" s="202">
        <v>800</v>
      </c>
      <c r="P324" s="203">
        <f t="shared" si="31"/>
        <v>26.893750000000001</v>
      </c>
    </row>
    <row r="325" spans="1:16" ht="15.75" customHeight="1">
      <c r="A325" s="171" t="s">
        <v>421</v>
      </c>
      <c r="B325" s="183">
        <v>45629</v>
      </c>
      <c r="C325" s="171">
        <v>7</v>
      </c>
      <c r="D325" s="207">
        <v>42745</v>
      </c>
      <c r="E325" s="225">
        <v>1223085</v>
      </c>
      <c r="F325" s="207">
        <f t="shared" si="27"/>
        <v>174726.42857142858</v>
      </c>
      <c r="G325" s="207">
        <f t="shared" si="28"/>
        <v>6106.4285714285716</v>
      </c>
      <c r="H325" s="207">
        <v>173604</v>
      </c>
      <c r="I325" s="206">
        <v>86.83</v>
      </c>
      <c r="J325" s="220">
        <f t="shared" si="29"/>
        <v>1999.3550616146495</v>
      </c>
      <c r="K325" s="207">
        <v>37078</v>
      </c>
      <c r="L325" s="202">
        <v>56.56</v>
      </c>
      <c r="M325" s="203">
        <f t="shared" si="30"/>
        <v>655.5516265912305</v>
      </c>
      <c r="N325" s="207">
        <v>689</v>
      </c>
      <c r="O325" s="202">
        <v>56.56</v>
      </c>
      <c r="P325" s="203">
        <f t="shared" si="31"/>
        <v>12.181753889674681</v>
      </c>
    </row>
    <row r="326" spans="1:16" ht="15.75" customHeight="1">
      <c r="A326" s="171" t="s">
        <v>422</v>
      </c>
      <c r="B326" s="183">
        <v>45608</v>
      </c>
      <c r="C326" s="171">
        <v>45</v>
      </c>
      <c r="D326" s="207">
        <v>414608</v>
      </c>
      <c r="E326" s="225">
        <v>3787273</v>
      </c>
      <c r="F326" s="207">
        <f t="shared" si="27"/>
        <v>84161.622222222228</v>
      </c>
      <c r="G326" s="207">
        <f t="shared" si="28"/>
        <v>9213.5111111111109</v>
      </c>
      <c r="H326" s="207">
        <v>4630028</v>
      </c>
      <c r="I326" s="206">
        <v>4705.82</v>
      </c>
      <c r="J326" s="220">
        <f t="shared" si="29"/>
        <v>983.89398659532242</v>
      </c>
      <c r="K326" s="207">
        <v>379763</v>
      </c>
      <c r="L326" s="202">
        <v>2197.2800000000002</v>
      </c>
      <c r="M326" s="203">
        <f t="shared" si="30"/>
        <v>172.83323017548969</v>
      </c>
      <c r="N326" s="207">
        <v>8909</v>
      </c>
      <c r="O326" s="202">
        <v>987.98</v>
      </c>
      <c r="P326" s="203">
        <f t="shared" si="31"/>
        <v>9.0173890159719825</v>
      </c>
    </row>
    <row r="327" spans="1:16" ht="15.75" customHeight="1">
      <c r="A327" s="171" t="s">
        <v>424</v>
      </c>
      <c r="B327" s="183">
        <v>45597</v>
      </c>
      <c r="C327" s="171">
        <v>18</v>
      </c>
      <c r="D327" s="207">
        <v>534719</v>
      </c>
      <c r="E327" s="225">
        <v>1755664</v>
      </c>
      <c r="F327" s="207">
        <f t="shared" si="27"/>
        <v>97536.888888888891</v>
      </c>
      <c r="G327" s="207">
        <f t="shared" si="28"/>
        <v>29706.611111111109</v>
      </c>
      <c r="H327" s="207">
        <v>3553735</v>
      </c>
      <c r="I327" s="206">
        <v>3000</v>
      </c>
      <c r="J327" s="220">
        <f t="shared" si="29"/>
        <v>1184.5783333333334</v>
      </c>
      <c r="K327" s="207">
        <v>526408</v>
      </c>
      <c r="L327" s="202">
        <v>3000</v>
      </c>
      <c r="M327" s="203">
        <f t="shared" si="30"/>
        <v>175.46933333333334</v>
      </c>
      <c r="N327" s="207">
        <v>0</v>
      </c>
      <c r="O327" s="202">
        <v>1</v>
      </c>
      <c r="P327" s="203">
        <f>N327/O327</f>
        <v>0</v>
      </c>
    </row>
    <row r="328" spans="1:16" ht="15.75" customHeight="1">
      <c r="A328" s="171" t="s">
        <v>425</v>
      </c>
      <c r="B328" s="183">
        <v>45600</v>
      </c>
      <c r="C328" s="171">
        <v>20</v>
      </c>
      <c r="D328" s="207">
        <v>196744</v>
      </c>
      <c r="E328" s="225">
        <v>3302217</v>
      </c>
      <c r="F328" s="207">
        <f t="shared" si="27"/>
        <v>165110.85</v>
      </c>
      <c r="G328" s="207">
        <f t="shared" si="28"/>
        <v>9837.2000000000007</v>
      </c>
      <c r="H328" s="207">
        <v>1088286</v>
      </c>
      <c r="I328" s="206">
        <v>498.42</v>
      </c>
      <c r="J328" s="220">
        <f t="shared" si="29"/>
        <v>2183.4717707957143</v>
      </c>
      <c r="K328" s="207">
        <v>177816</v>
      </c>
      <c r="L328" s="202">
        <v>497.93</v>
      </c>
      <c r="M328" s="203">
        <f t="shared" si="30"/>
        <v>357.11043721004961</v>
      </c>
      <c r="N328" s="207">
        <v>2795</v>
      </c>
      <c r="O328" s="202">
        <v>498.58</v>
      </c>
      <c r="P328" s="203">
        <f t="shared" si="31"/>
        <v>5.6059208151149269</v>
      </c>
    </row>
    <row r="329" spans="1:16" ht="15.75" customHeight="1">
      <c r="A329" s="171" t="s">
        <v>426</v>
      </c>
      <c r="B329" s="183">
        <v>45593</v>
      </c>
      <c r="C329" s="171">
        <v>12</v>
      </c>
      <c r="D329" s="207">
        <v>139401</v>
      </c>
      <c r="E329" s="225">
        <v>1641038</v>
      </c>
      <c r="F329" s="207">
        <f t="shared" si="27"/>
        <v>136753.16666666666</v>
      </c>
      <c r="G329" s="207">
        <f t="shared" si="28"/>
        <v>11616.75</v>
      </c>
      <c r="H329" s="207">
        <v>1014742</v>
      </c>
      <c r="I329" s="206">
        <v>1041.21</v>
      </c>
      <c r="J329" s="220">
        <f t="shared" si="29"/>
        <v>974.57957568598067</v>
      </c>
      <c r="K329" s="207">
        <v>122793</v>
      </c>
      <c r="L329" s="202">
        <v>371.62</v>
      </c>
      <c r="M329" s="203">
        <f t="shared" si="30"/>
        <v>330.42624185996448</v>
      </c>
      <c r="N329" s="207">
        <v>5966</v>
      </c>
      <c r="O329" s="202">
        <v>547.30999999999995</v>
      </c>
      <c r="P329" s="203">
        <f t="shared" si="31"/>
        <v>10.900586504905814</v>
      </c>
    </row>
    <row r="330" spans="1:16" ht="15.75" customHeight="1">
      <c r="A330" s="171" t="s">
        <v>427</v>
      </c>
      <c r="B330" s="183">
        <v>45621</v>
      </c>
      <c r="C330" s="171">
        <v>35</v>
      </c>
      <c r="D330" s="207">
        <v>2146423</v>
      </c>
      <c r="E330" s="225">
        <v>4936543</v>
      </c>
      <c r="F330" s="207">
        <f t="shared" si="27"/>
        <v>141044.08571428573</v>
      </c>
      <c r="G330" s="207">
        <f t="shared" si="28"/>
        <v>61326.37142857143</v>
      </c>
      <c r="H330" s="207">
        <v>7254491</v>
      </c>
      <c r="I330" s="206">
        <v>6998.99</v>
      </c>
      <c r="J330" s="220">
        <f t="shared" si="29"/>
        <v>1036.5054100663097</v>
      </c>
      <c r="K330" s="207">
        <v>13940</v>
      </c>
      <c r="L330" s="202">
        <v>4998.26</v>
      </c>
      <c r="M330" s="203">
        <f t="shared" si="30"/>
        <v>2.788970561755491</v>
      </c>
      <c r="N330" s="207">
        <v>13790</v>
      </c>
      <c r="O330" s="202">
        <v>1000</v>
      </c>
      <c r="P330" s="203">
        <f t="shared" si="31"/>
        <v>13.79</v>
      </c>
    </row>
    <row r="331" spans="1:16" ht="15.75" customHeight="1">
      <c r="A331" s="171" t="s">
        <v>428</v>
      </c>
      <c r="B331" s="183">
        <v>45625</v>
      </c>
      <c r="C331" s="171">
        <v>4</v>
      </c>
      <c r="D331" s="207">
        <v>12471</v>
      </c>
      <c r="E331" s="225">
        <v>461487</v>
      </c>
      <c r="F331" s="207">
        <f t="shared" si="27"/>
        <v>115371.75</v>
      </c>
      <c r="G331" s="207">
        <f t="shared" si="28"/>
        <v>3117.75</v>
      </c>
      <c r="H331" s="207">
        <v>598646</v>
      </c>
      <c r="I331" s="206">
        <v>499.8</v>
      </c>
      <c r="J331" s="220">
        <f t="shared" si="29"/>
        <v>1197.7711084433772</v>
      </c>
      <c r="K331" s="207">
        <v>7547</v>
      </c>
      <c r="L331" s="202">
        <v>349.94</v>
      </c>
      <c r="M331" s="203">
        <f t="shared" si="30"/>
        <v>21.566554266445678</v>
      </c>
      <c r="N331" s="207">
        <v>1716</v>
      </c>
      <c r="O331" s="202">
        <v>99.96</v>
      </c>
      <c r="P331" s="203">
        <f t="shared" si="31"/>
        <v>17.16686674669868</v>
      </c>
    </row>
    <row r="332" spans="1:16" ht="15.75" customHeight="1">
      <c r="A332" s="171" t="s">
        <v>429</v>
      </c>
      <c r="B332" s="183">
        <v>45637</v>
      </c>
      <c r="C332" s="171">
        <v>8</v>
      </c>
      <c r="D332" s="207">
        <v>8526</v>
      </c>
      <c r="E332" s="225">
        <v>3452059</v>
      </c>
      <c r="F332" s="207">
        <f t="shared" si="27"/>
        <v>431507.375</v>
      </c>
      <c r="G332" s="207">
        <f t="shared" si="28"/>
        <v>1065.75</v>
      </c>
      <c r="H332" s="207">
        <v>241307</v>
      </c>
      <c r="I332" s="206">
        <v>174.84</v>
      </c>
      <c r="J332" s="220">
        <f t="shared" si="29"/>
        <v>1380.1590025165865</v>
      </c>
      <c r="K332" s="207">
        <v>3519</v>
      </c>
      <c r="L332" s="202">
        <v>162.46</v>
      </c>
      <c r="M332" s="203">
        <f t="shared" si="30"/>
        <v>21.660716484057613</v>
      </c>
      <c r="N332" s="207">
        <v>1498</v>
      </c>
      <c r="O332" s="202">
        <v>162.5</v>
      </c>
      <c r="P332" s="203">
        <f t="shared" si="31"/>
        <v>9.218461538461538</v>
      </c>
    </row>
    <row r="333" spans="1:16" ht="15.75" customHeight="1">
      <c r="A333" s="171" t="s">
        <v>430</v>
      </c>
      <c r="B333" s="183">
        <v>45607</v>
      </c>
      <c r="C333" s="171">
        <v>45</v>
      </c>
      <c r="D333" s="207">
        <v>143761</v>
      </c>
      <c r="E333" s="225">
        <v>6126390</v>
      </c>
      <c r="F333" s="207">
        <f t="shared" si="27"/>
        <v>136142</v>
      </c>
      <c r="G333" s="207">
        <f t="shared" si="28"/>
        <v>3194.6888888888889</v>
      </c>
      <c r="H333" s="207">
        <v>601265</v>
      </c>
      <c r="I333" s="206">
        <v>498.65</v>
      </c>
      <c r="J333" s="220">
        <f t="shared" si="29"/>
        <v>1205.7856211771784</v>
      </c>
      <c r="K333" s="207">
        <v>100413</v>
      </c>
      <c r="L333" s="202">
        <v>562.82000000000005</v>
      </c>
      <c r="M333" s="203">
        <f t="shared" si="30"/>
        <v>178.4105042464731</v>
      </c>
      <c r="N333" s="207">
        <v>4482</v>
      </c>
      <c r="O333" s="202">
        <v>188.95</v>
      </c>
      <c r="P333" s="203">
        <f t="shared" si="31"/>
        <v>23.720560994972217</v>
      </c>
    </row>
    <row r="334" spans="1:16" ht="15.75" customHeight="1">
      <c r="A334" s="171" t="s">
        <v>431</v>
      </c>
      <c r="B334" s="183">
        <v>45628</v>
      </c>
      <c r="C334" s="171">
        <v>18</v>
      </c>
      <c r="D334" s="207">
        <v>164674</v>
      </c>
      <c r="E334" s="225">
        <v>2186151</v>
      </c>
      <c r="F334" s="207">
        <f t="shared" si="27"/>
        <v>121452.83333333333</v>
      </c>
      <c r="G334" s="207">
        <f t="shared" si="28"/>
        <v>9148.5555555555547</v>
      </c>
      <c r="H334" s="207">
        <v>569161</v>
      </c>
      <c r="I334" s="206">
        <v>500</v>
      </c>
      <c r="J334" s="220">
        <f t="shared" si="29"/>
        <v>1138.3219999999999</v>
      </c>
      <c r="K334" s="207">
        <v>150675</v>
      </c>
      <c r="L334" s="202">
        <v>216.88</v>
      </c>
      <c r="M334" s="203">
        <f t="shared" si="30"/>
        <v>694.73902618959789</v>
      </c>
      <c r="N334" s="207">
        <v>2888</v>
      </c>
      <c r="O334" s="202">
        <v>199.84</v>
      </c>
      <c r="P334" s="203">
        <f t="shared" si="31"/>
        <v>14.4515612489992</v>
      </c>
    </row>
    <row r="335" spans="1:16" ht="15.75" customHeight="1">
      <c r="A335" s="171" t="s">
        <v>432</v>
      </c>
      <c r="B335" s="183">
        <v>45539</v>
      </c>
      <c r="C335" s="171">
        <v>6</v>
      </c>
      <c r="D335" s="207">
        <v>76441</v>
      </c>
      <c r="E335" s="221">
        <v>1187740</v>
      </c>
      <c r="F335" s="207">
        <f t="shared" si="27"/>
        <v>197956.66666666666</v>
      </c>
      <c r="G335" s="207">
        <f t="shared" si="28"/>
        <v>12740.166666666666</v>
      </c>
      <c r="H335" s="207">
        <v>991285</v>
      </c>
      <c r="I335" s="206">
        <v>1000</v>
      </c>
      <c r="J335" s="220">
        <f t="shared" si="29"/>
        <v>991.28499999999997</v>
      </c>
      <c r="K335" s="207">
        <v>62994</v>
      </c>
      <c r="L335" s="202">
        <v>200</v>
      </c>
      <c r="M335" s="203">
        <f t="shared" si="30"/>
        <v>314.97000000000003</v>
      </c>
      <c r="N335" s="207">
        <v>7909</v>
      </c>
      <c r="O335" s="202">
        <v>800</v>
      </c>
      <c r="P335" s="203">
        <f t="shared" si="31"/>
        <v>9.8862500000000004</v>
      </c>
    </row>
    <row r="336" spans="1:16" ht="15.75" customHeight="1">
      <c r="A336" s="223" t="s">
        <v>434</v>
      </c>
      <c r="B336" s="227">
        <v>45658</v>
      </c>
      <c r="C336" s="171">
        <v>8</v>
      </c>
      <c r="D336" s="207">
        <v>427997</v>
      </c>
      <c r="E336" s="225">
        <v>495786</v>
      </c>
      <c r="F336" s="207">
        <f t="shared" si="27"/>
        <v>61973.25</v>
      </c>
      <c r="G336" s="207">
        <f t="shared" si="28"/>
        <v>53499.625</v>
      </c>
      <c r="H336" s="207">
        <v>7223921</v>
      </c>
      <c r="I336" s="206">
        <v>5000</v>
      </c>
      <c r="J336" s="220">
        <f t="shared" si="29"/>
        <v>1444.7842000000001</v>
      </c>
      <c r="K336" s="207">
        <v>398513</v>
      </c>
      <c r="L336" s="202">
        <v>2000</v>
      </c>
      <c r="M336" s="203">
        <f t="shared" si="30"/>
        <v>199.25649999999999</v>
      </c>
      <c r="N336" s="207">
        <v>25179</v>
      </c>
      <c r="O336" s="202">
        <v>2000</v>
      </c>
      <c r="P336" s="203">
        <f t="shared" si="31"/>
        <v>12.589499999999999</v>
      </c>
    </row>
    <row r="337" spans="1:16" ht="15.75" customHeight="1">
      <c r="A337" s="223" t="s">
        <v>436</v>
      </c>
      <c r="B337" s="183">
        <v>45665</v>
      </c>
      <c r="C337" s="171">
        <v>2</v>
      </c>
      <c r="D337" s="207">
        <v>3961807</v>
      </c>
      <c r="E337" s="225">
        <v>125707</v>
      </c>
      <c r="F337" s="207">
        <f t="shared" si="27"/>
        <v>62853.5</v>
      </c>
      <c r="G337" s="207">
        <f t="shared" si="28"/>
        <v>1980903.5</v>
      </c>
      <c r="H337" s="207">
        <v>26572428</v>
      </c>
      <c r="I337" s="206">
        <v>38502.65</v>
      </c>
      <c r="J337" s="220">
        <f t="shared" si="29"/>
        <v>690.14543154821808</v>
      </c>
      <c r="K337" s="207">
        <v>3820058</v>
      </c>
      <c r="L337" s="202">
        <v>8295.7099999999991</v>
      </c>
      <c r="M337" s="203">
        <f t="shared" si="30"/>
        <v>460.48596202133399</v>
      </c>
      <c r="N337" s="207">
        <v>141466</v>
      </c>
      <c r="O337" s="202">
        <v>18733.38</v>
      </c>
      <c r="P337" s="203">
        <f t="shared" si="31"/>
        <v>7.5515470246159522</v>
      </c>
    </row>
    <row r="338" spans="1:16" ht="15.75" customHeight="1">
      <c r="A338" s="223" t="s">
        <v>435</v>
      </c>
      <c r="B338" s="183">
        <v>45684</v>
      </c>
      <c r="C338" s="171">
        <v>2</v>
      </c>
      <c r="D338" s="207">
        <v>4187123</v>
      </c>
      <c r="E338" s="225">
        <v>786766</v>
      </c>
      <c r="F338" s="207">
        <f t="shared" si="27"/>
        <v>393383</v>
      </c>
      <c r="G338" s="207">
        <f t="shared" si="28"/>
        <v>2093561.5</v>
      </c>
      <c r="H338" s="207">
        <v>21478504</v>
      </c>
      <c r="I338" s="206">
        <v>35454.53</v>
      </c>
      <c r="J338" s="220">
        <f t="shared" si="29"/>
        <v>605.80422304286651</v>
      </c>
      <c r="K338" s="207">
        <v>4093032</v>
      </c>
      <c r="L338" s="202">
        <v>10799.75</v>
      </c>
      <c r="M338" s="203">
        <f t="shared" si="30"/>
        <v>378.9932174355888</v>
      </c>
      <c r="N338" s="224">
        <v>93778</v>
      </c>
      <c r="O338" s="202">
        <v>17292.25</v>
      </c>
      <c r="P338" s="203">
        <f t="shared" si="31"/>
        <v>5.4231230753661324</v>
      </c>
    </row>
    <row r="339" spans="1:16" ht="15.75" customHeight="1">
      <c r="A339" s="223" t="s">
        <v>433</v>
      </c>
      <c r="B339" s="183">
        <v>45674</v>
      </c>
      <c r="C339" s="171">
        <v>3</v>
      </c>
      <c r="D339" s="207">
        <v>172431</v>
      </c>
      <c r="E339" s="225">
        <v>524264</v>
      </c>
      <c r="F339" s="207">
        <f t="shared" si="27"/>
        <v>174754.66666666666</v>
      </c>
      <c r="G339" s="207">
        <f t="shared" si="28"/>
        <v>57477</v>
      </c>
      <c r="H339" s="207">
        <v>2809524</v>
      </c>
      <c r="I339" s="206">
        <v>1944.52</v>
      </c>
      <c r="J339" s="220">
        <f t="shared" si="29"/>
        <v>1444.841914714171</v>
      </c>
      <c r="K339" s="207">
        <v>155363</v>
      </c>
      <c r="L339" s="202">
        <v>2000</v>
      </c>
      <c r="M339" s="203">
        <f t="shared" si="30"/>
        <v>77.6815</v>
      </c>
      <c r="N339" s="224">
        <v>14216</v>
      </c>
      <c r="O339" s="202">
        <v>1000</v>
      </c>
      <c r="P339" s="203">
        <f t="shared" si="31"/>
        <v>14.215999999999999</v>
      </c>
    </row>
    <row r="340" spans="1:16" ht="15.75" customHeight="1">
      <c r="A340" s="223" t="s">
        <v>437</v>
      </c>
      <c r="B340" s="227">
        <v>45571</v>
      </c>
      <c r="C340" s="171">
        <v>7</v>
      </c>
      <c r="D340" s="207">
        <v>929388</v>
      </c>
      <c r="E340" s="225">
        <v>3428251</v>
      </c>
      <c r="F340" s="207">
        <f t="shared" si="27"/>
        <v>489750.14285714284</v>
      </c>
      <c r="G340" s="207">
        <f t="shared" si="28"/>
        <v>132769.71428571429</v>
      </c>
      <c r="H340" s="207">
        <v>25223509</v>
      </c>
      <c r="I340" s="206">
        <v>53998.61</v>
      </c>
      <c r="J340" s="220">
        <f t="shared" si="29"/>
        <v>467.11404237997976</v>
      </c>
      <c r="K340" s="207">
        <v>873769</v>
      </c>
      <c r="L340" s="202">
        <v>10000</v>
      </c>
      <c r="M340" s="203">
        <f t="shared" si="30"/>
        <v>87.376900000000006</v>
      </c>
      <c r="N340" s="224">
        <v>63771</v>
      </c>
      <c r="O340" s="202">
        <v>8000</v>
      </c>
      <c r="P340" s="203">
        <f t="shared" si="31"/>
        <v>7.9713750000000001</v>
      </c>
    </row>
    <row r="341" spans="1:16" ht="15.75" customHeight="1">
      <c r="A341" s="223" t="s">
        <v>438</v>
      </c>
      <c r="B341" s="183">
        <v>45589</v>
      </c>
      <c r="C341" s="171">
        <v>7</v>
      </c>
      <c r="D341" s="207">
        <v>1374698</v>
      </c>
      <c r="E341" s="225">
        <v>3774340</v>
      </c>
      <c r="F341" s="207">
        <f t="shared" si="27"/>
        <v>539191.42857142852</v>
      </c>
      <c r="G341" s="207">
        <f t="shared" si="28"/>
        <v>196385.42857142858</v>
      </c>
      <c r="H341" s="207">
        <v>22815247</v>
      </c>
      <c r="I341" s="206">
        <v>30019.32</v>
      </c>
      <c r="J341" s="220">
        <f t="shared" si="29"/>
        <v>760.01878123821598</v>
      </c>
      <c r="K341" s="207">
        <v>1365135</v>
      </c>
      <c r="L341" s="202">
        <v>4027.77</v>
      </c>
      <c r="M341" s="203">
        <f t="shared" si="30"/>
        <v>338.93072345243149</v>
      </c>
      <c r="N341" s="224">
        <v>71822</v>
      </c>
      <c r="O341" s="202">
        <v>8000</v>
      </c>
      <c r="P341" s="203">
        <f t="shared" si="31"/>
        <v>8.9777500000000003</v>
      </c>
    </row>
    <row r="342" spans="1:16" ht="15.75" customHeight="1">
      <c r="A342" s="223" t="s">
        <v>439</v>
      </c>
      <c r="B342" s="183">
        <v>45598</v>
      </c>
      <c r="C342" s="171">
        <v>8</v>
      </c>
      <c r="D342" s="207">
        <v>334176</v>
      </c>
      <c r="E342" s="225">
        <v>1371115</v>
      </c>
      <c r="F342" s="207">
        <f t="shared" si="27"/>
        <v>171389.375</v>
      </c>
      <c r="G342" s="207">
        <f t="shared" si="28"/>
        <v>41772</v>
      </c>
      <c r="H342" s="207">
        <v>1030980</v>
      </c>
      <c r="I342" s="206">
        <v>800</v>
      </c>
      <c r="J342" s="220">
        <f t="shared" si="29"/>
        <v>1288.7249999999999</v>
      </c>
      <c r="K342" s="207">
        <v>317169</v>
      </c>
      <c r="L342" s="202">
        <v>800</v>
      </c>
      <c r="M342" s="203">
        <f t="shared" si="30"/>
        <v>396.46125000000001</v>
      </c>
      <c r="N342" s="224">
        <v>10658</v>
      </c>
      <c r="O342" s="202">
        <v>800</v>
      </c>
      <c r="P342" s="203">
        <f t="shared" si="31"/>
        <v>13.3225</v>
      </c>
    </row>
    <row r="343" spans="1:16" ht="15.75" customHeight="1">
      <c r="A343" s="223" t="s">
        <v>440</v>
      </c>
      <c r="B343" s="183">
        <v>45725</v>
      </c>
      <c r="C343" s="171">
        <v>7</v>
      </c>
      <c r="D343" s="207">
        <v>201113</v>
      </c>
      <c r="E343" s="225">
        <v>388591</v>
      </c>
      <c r="F343" s="207">
        <f t="shared" si="27"/>
        <v>55513</v>
      </c>
      <c r="G343" s="207">
        <f t="shared" si="28"/>
        <v>28730.428571428572</v>
      </c>
      <c r="H343" s="207">
        <v>1681084</v>
      </c>
      <c r="I343" s="206">
        <v>2350</v>
      </c>
      <c r="J343" s="220">
        <f t="shared" si="29"/>
        <v>715.35489361702128</v>
      </c>
      <c r="K343" s="207">
        <v>195495</v>
      </c>
      <c r="L343" s="202">
        <v>700</v>
      </c>
      <c r="M343" s="203">
        <f t="shared" si="30"/>
        <v>279.27857142857141</v>
      </c>
      <c r="N343" s="224">
        <v>2074</v>
      </c>
      <c r="O343" s="202">
        <v>300</v>
      </c>
      <c r="P343" s="203">
        <f t="shared" si="31"/>
        <v>6.9133333333333331</v>
      </c>
    </row>
    <row r="344" spans="1:16" ht="15.75" customHeight="1">
      <c r="A344" s="223" t="s">
        <v>441</v>
      </c>
      <c r="B344" s="183">
        <v>45695</v>
      </c>
      <c r="C344" s="171">
        <v>7</v>
      </c>
      <c r="D344" s="207">
        <v>198501</v>
      </c>
      <c r="E344" s="225">
        <v>1612773</v>
      </c>
      <c r="F344" s="207">
        <f t="shared" si="27"/>
        <v>230396.14285714287</v>
      </c>
      <c r="G344" s="207">
        <f t="shared" si="28"/>
        <v>28357.285714285714</v>
      </c>
      <c r="H344" s="207">
        <v>1534305</v>
      </c>
      <c r="I344" s="206">
        <v>1000</v>
      </c>
      <c r="J344" s="220">
        <f t="shared" si="29"/>
        <v>1534.3050000000001</v>
      </c>
      <c r="K344" s="207">
        <v>191322</v>
      </c>
      <c r="L344" s="202">
        <v>750</v>
      </c>
      <c r="M344" s="203">
        <f t="shared" si="30"/>
        <v>255.096</v>
      </c>
      <c r="N344" s="224">
        <v>2781</v>
      </c>
      <c r="O344" s="202">
        <v>250</v>
      </c>
      <c r="P344" s="203">
        <f t="shared" si="31"/>
        <v>11.124000000000001</v>
      </c>
    </row>
    <row r="345" spans="1:16" ht="15.75" customHeight="1">
      <c r="A345" s="223" t="s">
        <v>445</v>
      </c>
      <c r="B345" s="183">
        <v>45694</v>
      </c>
      <c r="C345" s="171">
        <v>12</v>
      </c>
      <c r="D345" s="207">
        <v>279626</v>
      </c>
      <c r="E345" s="225">
        <v>1708585</v>
      </c>
      <c r="F345" s="207">
        <f t="shared" si="27"/>
        <v>142382.08333333334</v>
      </c>
      <c r="G345" s="207">
        <f t="shared" si="28"/>
        <v>23302.166666666668</v>
      </c>
      <c r="H345" s="207">
        <v>1559314</v>
      </c>
      <c r="I345" s="206">
        <v>1200</v>
      </c>
      <c r="J345" s="220">
        <f t="shared" si="29"/>
        <v>1299.4283333333333</v>
      </c>
      <c r="K345" s="207">
        <v>255577</v>
      </c>
      <c r="L345" s="202">
        <v>1000</v>
      </c>
      <c r="M345" s="203">
        <f t="shared" si="30"/>
        <v>255.577</v>
      </c>
      <c r="N345" s="224">
        <v>7368</v>
      </c>
      <c r="O345" s="202">
        <v>800</v>
      </c>
      <c r="P345" s="203">
        <f t="shared" si="31"/>
        <v>9.2100000000000009</v>
      </c>
    </row>
    <row r="346" spans="1:16" ht="15.75" customHeight="1">
      <c r="A346" s="223" t="s">
        <v>442</v>
      </c>
      <c r="B346" s="183">
        <v>45748</v>
      </c>
      <c r="C346" s="171">
        <v>4</v>
      </c>
      <c r="D346" s="207">
        <v>5954</v>
      </c>
      <c r="E346" s="225">
        <v>273629</v>
      </c>
      <c r="F346" s="207">
        <f t="shared" si="27"/>
        <v>68407.25</v>
      </c>
      <c r="G346" s="207">
        <f t="shared" si="28"/>
        <v>1488.5</v>
      </c>
      <c r="H346" s="207">
        <v>222554</v>
      </c>
      <c r="I346" s="206">
        <v>200</v>
      </c>
      <c r="J346" s="220">
        <f t="shared" si="29"/>
        <v>1112.77</v>
      </c>
      <c r="K346" s="207">
        <v>2530</v>
      </c>
      <c r="L346" s="202">
        <v>100</v>
      </c>
      <c r="M346" s="203">
        <f t="shared" si="30"/>
        <v>25.3</v>
      </c>
      <c r="N346" s="224">
        <v>1754</v>
      </c>
      <c r="O346" s="202">
        <v>250</v>
      </c>
      <c r="P346" s="203">
        <f t="shared" si="31"/>
        <v>7.016</v>
      </c>
    </row>
    <row r="347" spans="1:16" ht="15.75" customHeight="1">
      <c r="A347" s="223" t="s">
        <v>443</v>
      </c>
      <c r="B347" s="183">
        <v>45748</v>
      </c>
      <c r="C347" s="171">
        <v>8</v>
      </c>
      <c r="D347" s="207">
        <v>689391</v>
      </c>
      <c r="E347" s="225">
        <v>576026</v>
      </c>
      <c r="F347" s="207">
        <f t="shared" si="27"/>
        <v>72003.25</v>
      </c>
      <c r="G347" s="207">
        <f t="shared" si="28"/>
        <v>86173.875</v>
      </c>
      <c r="H347" s="207">
        <v>5587059</v>
      </c>
      <c r="I347" s="206">
        <v>5000</v>
      </c>
      <c r="J347" s="220">
        <f t="shared" si="29"/>
        <v>1117.4118000000001</v>
      </c>
      <c r="K347" s="207">
        <v>671870</v>
      </c>
      <c r="L347" s="202">
        <v>2000</v>
      </c>
      <c r="M347" s="203">
        <f t="shared" si="30"/>
        <v>335.935</v>
      </c>
      <c r="N347" s="224">
        <v>12596</v>
      </c>
      <c r="O347" s="202">
        <v>2000</v>
      </c>
      <c r="P347" s="203">
        <f t="shared" si="31"/>
        <v>6.298</v>
      </c>
    </row>
    <row r="348" spans="1:16" ht="15.75" customHeight="1">
      <c r="A348" s="223" t="s">
        <v>444</v>
      </c>
      <c r="B348" s="183">
        <v>45741</v>
      </c>
      <c r="C348" s="171">
        <v>2</v>
      </c>
      <c r="D348" s="207">
        <v>2070983</v>
      </c>
      <c r="E348" s="225">
        <v>1408210</v>
      </c>
      <c r="F348" s="207">
        <f t="shared" si="27"/>
        <v>704105</v>
      </c>
      <c r="G348" s="207">
        <f t="shared" si="28"/>
        <v>1035491.5</v>
      </c>
      <c r="H348" s="207">
        <v>8675700</v>
      </c>
      <c r="I348" s="206">
        <v>12000</v>
      </c>
      <c r="J348" s="220">
        <f t="shared" si="29"/>
        <v>722.97500000000002</v>
      </c>
      <c r="K348" s="207">
        <v>2042026</v>
      </c>
      <c r="L348" s="202">
        <v>10000</v>
      </c>
      <c r="M348" s="203">
        <f t="shared" si="30"/>
        <v>204.20259999999999</v>
      </c>
      <c r="N348" s="224">
        <v>28505</v>
      </c>
      <c r="O348" s="202">
        <v>3000</v>
      </c>
      <c r="P348" s="203">
        <f t="shared" si="31"/>
        <v>9.5016666666666669</v>
      </c>
    </row>
    <row r="349" spans="1:16" ht="15.75" customHeight="1">
      <c r="A349" s="223" t="s">
        <v>446</v>
      </c>
      <c r="B349" s="183">
        <v>45736</v>
      </c>
      <c r="C349" s="171">
        <v>10</v>
      </c>
      <c r="D349" s="207">
        <v>231910</v>
      </c>
      <c r="E349" s="225">
        <v>795712</v>
      </c>
      <c r="F349" s="207">
        <f t="shared" si="27"/>
        <v>79571.199999999997</v>
      </c>
      <c r="G349" s="207">
        <f t="shared" si="28"/>
        <v>23191</v>
      </c>
      <c r="H349" s="207">
        <v>2366293</v>
      </c>
      <c r="I349" s="206">
        <v>2000</v>
      </c>
      <c r="J349" s="220">
        <f t="shared" si="29"/>
        <v>1183.1465000000001</v>
      </c>
      <c r="K349" s="207">
        <v>200826</v>
      </c>
      <c r="L349" s="202">
        <v>1000</v>
      </c>
      <c r="M349" s="203">
        <f t="shared" si="30"/>
        <v>200.82599999999999</v>
      </c>
      <c r="N349" s="224">
        <v>17688</v>
      </c>
      <c r="O349" s="202">
        <v>1500</v>
      </c>
      <c r="P349" s="203">
        <f t="shared" si="31"/>
        <v>11.792</v>
      </c>
    </row>
    <row r="350" spans="1:16" ht="15.75" customHeight="1">
      <c r="A350" s="223" t="s">
        <v>447</v>
      </c>
      <c r="B350" s="183">
        <v>45734</v>
      </c>
      <c r="C350" s="171">
        <v>23</v>
      </c>
      <c r="D350" s="207">
        <v>199925</v>
      </c>
      <c r="E350" s="225">
        <v>1593909</v>
      </c>
      <c r="F350" s="207">
        <f t="shared" si="27"/>
        <v>69300.391304347824</v>
      </c>
      <c r="G350" s="207">
        <f t="shared" si="28"/>
        <v>8692.391304347826</v>
      </c>
      <c r="H350" s="207">
        <v>1615346</v>
      </c>
      <c r="I350" s="206">
        <v>2300</v>
      </c>
      <c r="J350" s="220">
        <f t="shared" si="29"/>
        <v>702.32434782608698</v>
      </c>
      <c r="K350" s="207">
        <v>184417</v>
      </c>
      <c r="L350" s="202">
        <v>1100</v>
      </c>
      <c r="M350" s="203">
        <f t="shared" si="30"/>
        <v>167.65181818181819</v>
      </c>
      <c r="N350" s="224">
        <v>9128</v>
      </c>
      <c r="O350" s="202">
        <v>600</v>
      </c>
      <c r="P350" s="203">
        <f t="shared" si="31"/>
        <v>15.213333333333333</v>
      </c>
    </row>
    <row r="351" spans="1:16" ht="15.75" customHeight="1">
      <c r="A351" s="223" t="s">
        <v>448</v>
      </c>
      <c r="B351" s="183">
        <v>45791</v>
      </c>
      <c r="C351" s="171">
        <v>4</v>
      </c>
      <c r="D351" s="207">
        <v>211768</v>
      </c>
      <c r="E351" s="221">
        <v>2733412</v>
      </c>
      <c r="F351" s="207">
        <f t="shared" si="27"/>
        <v>683353</v>
      </c>
      <c r="G351" s="207">
        <f t="shared" si="28"/>
        <v>52942</v>
      </c>
      <c r="H351" s="207">
        <v>822240</v>
      </c>
      <c r="I351" s="206">
        <v>1000</v>
      </c>
      <c r="J351" s="220">
        <f t="shared" si="29"/>
        <v>822.24</v>
      </c>
      <c r="K351" s="207">
        <v>206271</v>
      </c>
      <c r="L351" s="202">
        <v>1000</v>
      </c>
      <c r="M351" s="203">
        <f t="shared" si="30"/>
        <v>206.27099999999999</v>
      </c>
      <c r="N351" s="224">
        <v>4360</v>
      </c>
      <c r="O351" s="202">
        <v>1000</v>
      </c>
      <c r="P351" s="203">
        <f t="shared" si="31"/>
        <v>4.3600000000000003</v>
      </c>
    </row>
    <row r="352" spans="1:16" ht="15.75" customHeight="1">
      <c r="A352" s="223" t="s">
        <v>449</v>
      </c>
      <c r="B352" s="183">
        <v>45809</v>
      </c>
      <c r="C352" s="171">
        <v>8</v>
      </c>
      <c r="D352" s="207">
        <v>340875</v>
      </c>
      <c r="E352" s="221">
        <v>503908</v>
      </c>
      <c r="F352" s="207">
        <f t="shared" si="27"/>
        <v>62988.5</v>
      </c>
      <c r="G352" s="207">
        <f t="shared" si="28"/>
        <v>42609.375</v>
      </c>
      <c r="H352" s="207">
        <v>5344820</v>
      </c>
      <c r="I352" s="206">
        <v>6025</v>
      </c>
      <c r="J352" s="220">
        <f t="shared" si="29"/>
        <v>887.1070539419087</v>
      </c>
      <c r="K352" s="207">
        <v>321913</v>
      </c>
      <c r="L352" s="202">
        <v>975</v>
      </c>
      <c r="M352" s="203">
        <f t="shared" si="30"/>
        <v>330.16717948717951</v>
      </c>
      <c r="N352" s="224">
        <v>16364</v>
      </c>
      <c r="O352" s="202">
        <v>2000</v>
      </c>
      <c r="P352" s="203">
        <f t="shared" si="31"/>
        <v>8.1820000000000004</v>
      </c>
    </row>
    <row r="353" spans="1:16" ht="15.75" customHeight="1">
      <c r="A353" s="223" t="s">
        <v>450</v>
      </c>
      <c r="B353" s="183">
        <v>45824</v>
      </c>
      <c r="C353" s="171">
        <v>3</v>
      </c>
      <c r="D353" s="207">
        <v>225361</v>
      </c>
      <c r="E353" s="221">
        <v>144147</v>
      </c>
      <c r="F353" s="207">
        <f t="shared" si="27"/>
        <v>48049</v>
      </c>
      <c r="G353" s="207">
        <f t="shared" si="28"/>
        <v>75120.333333333328</v>
      </c>
      <c r="H353" s="207">
        <v>933876</v>
      </c>
      <c r="I353" s="206">
        <v>1156</v>
      </c>
      <c r="J353" s="220">
        <f t="shared" si="29"/>
        <v>807.85121107266434</v>
      </c>
      <c r="K353" s="207">
        <v>220292</v>
      </c>
      <c r="L353" s="202">
        <v>273.23</v>
      </c>
      <c r="M353" s="203">
        <f t="shared" si="30"/>
        <v>806.25114372506675</v>
      </c>
      <c r="N353" s="224">
        <v>4754</v>
      </c>
      <c r="O353" s="202">
        <v>272.08999999999997</v>
      </c>
      <c r="P353" s="203">
        <f t="shared" si="31"/>
        <v>17.472159947076335</v>
      </c>
    </row>
    <row r="354" spans="1:16" ht="15.75" customHeight="1">
      <c r="A354" s="223" t="s">
        <v>451</v>
      </c>
      <c r="B354" s="183">
        <v>45778</v>
      </c>
      <c r="C354" s="171">
        <v>12</v>
      </c>
      <c r="D354" s="207">
        <v>913900</v>
      </c>
      <c r="E354" s="221">
        <v>1011488</v>
      </c>
      <c r="F354" s="207">
        <f t="shared" si="27"/>
        <v>84290.666666666672</v>
      </c>
      <c r="G354" s="207">
        <f t="shared" si="28"/>
        <v>76158.333333333328</v>
      </c>
      <c r="H354" s="207">
        <v>10021491</v>
      </c>
      <c r="I354" s="206">
        <v>9000</v>
      </c>
      <c r="J354" s="220">
        <f t="shared" si="29"/>
        <v>1113.499</v>
      </c>
      <c r="K354" s="207">
        <v>876133</v>
      </c>
      <c r="L354" s="202">
        <v>7500</v>
      </c>
      <c r="M354" s="203">
        <f t="shared" si="30"/>
        <v>116.81773333333334</v>
      </c>
      <c r="N354" s="229">
        <v>31938</v>
      </c>
      <c r="O354" s="202">
        <v>7500</v>
      </c>
      <c r="P354" s="203">
        <f t="shared" si="31"/>
        <v>4.2584</v>
      </c>
    </row>
    <row r="355" spans="1:16" ht="15.75" customHeight="1">
      <c r="A355" s="223" t="s">
        <v>452</v>
      </c>
      <c r="B355" s="183">
        <v>45783</v>
      </c>
      <c r="C355" s="182">
        <v>8</v>
      </c>
      <c r="D355" s="207">
        <v>139151</v>
      </c>
      <c r="E355" s="221">
        <v>1805110</v>
      </c>
      <c r="F355" s="228">
        <f t="shared" si="27"/>
        <v>225638.75</v>
      </c>
      <c r="G355" s="228">
        <f t="shared" si="28"/>
        <v>17393.875</v>
      </c>
      <c r="H355" s="207">
        <v>803399</v>
      </c>
      <c r="I355" s="206">
        <v>1250</v>
      </c>
      <c r="J355" s="220">
        <f t="shared" si="29"/>
        <v>642.7192</v>
      </c>
      <c r="K355" s="207">
        <v>132461</v>
      </c>
      <c r="L355" s="202">
        <v>500</v>
      </c>
      <c r="M355" s="203">
        <f t="shared" si="30"/>
        <v>264.92200000000003</v>
      </c>
      <c r="N355" s="229">
        <v>2432</v>
      </c>
      <c r="O355" s="202">
        <v>250</v>
      </c>
      <c r="P355" s="203">
        <f t="shared" si="31"/>
        <v>9.7279999999999998</v>
      </c>
    </row>
    <row r="356" spans="1:16" ht="15.75" customHeight="1">
      <c r="A356" s="223" t="s">
        <v>293</v>
      </c>
      <c r="B356" s="183">
        <v>45751</v>
      </c>
      <c r="C356" s="182">
        <v>20</v>
      </c>
      <c r="D356" s="207">
        <v>255576</v>
      </c>
      <c r="E356" s="221">
        <v>2123684</v>
      </c>
      <c r="F356" s="207">
        <f t="shared" si="27"/>
        <v>106184.2</v>
      </c>
      <c r="G356" s="207">
        <f t="shared" si="28"/>
        <v>12778.8</v>
      </c>
      <c r="H356" s="207">
        <v>5537095</v>
      </c>
      <c r="I356" s="206">
        <v>7479.87</v>
      </c>
      <c r="J356" s="220">
        <f t="shared" si="29"/>
        <v>740.26620783516296</v>
      </c>
      <c r="K356" s="207">
        <v>233190</v>
      </c>
      <c r="L356" s="202">
        <v>686.71</v>
      </c>
      <c r="M356" s="203">
        <f t="shared" si="30"/>
        <v>339.57565784683487</v>
      </c>
      <c r="N356" s="229">
        <v>12648</v>
      </c>
      <c r="O356" s="202">
        <v>1662.79</v>
      </c>
      <c r="P356" s="203">
        <f t="shared" si="31"/>
        <v>7.6064927020249105</v>
      </c>
    </row>
    <row r="357" spans="1:16" ht="15.75" customHeight="1">
      <c r="A357" s="223" t="s">
        <v>294</v>
      </c>
      <c r="B357" s="183">
        <v>45768</v>
      </c>
      <c r="C357" s="171">
        <v>10</v>
      </c>
      <c r="D357" s="207">
        <v>133892</v>
      </c>
      <c r="E357" s="221">
        <v>536336</v>
      </c>
      <c r="F357" s="207">
        <f t="shared" si="27"/>
        <v>53633.599999999999</v>
      </c>
      <c r="G357" s="207">
        <f t="shared" si="28"/>
        <v>13389.2</v>
      </c>
      <c r="H357" s="207">
        <v>2011303</v>
      </c>
      <c r="I357" s="206">
        <v>2486.9699999999998</v>
      </c>
      <c r="J357" s="220">
        <f t="shared" si="29"/>
        <v>808.73633377161775</v>
      </c>
      <c r="K357" s="207">
        <v>124172</v>
      </c>
      <c r="L357" s="202">
        <v>762.61</v>
      </c>
      <c r="M357" s="203">
        <f t="shared" si="30"/>
        <v>162.82503507690694</v>
      </c>
      <c r="N357" s="229">
        <v>7243</v>
      </c>
      <c r="O357" s="202">
        <v>824.3</v>
      </c>
      <c r="P357" s="203">
        <f t="shared" si="31"/>
        <v>8.7868494480164987</v>
      </c>
    </row>
    <row r="358" spans="1:16" ht="15.75" customHeight="1">
      <c r="A358" s="223" t="s">
        <v>453</v>
      </c>
      <c r="B358" s="183">
        <v>45775</v>
      </c>
      <c r="C358" s="171">
        <v>2</v>
      </c>
      <c r="D358" s="207">
        <v>4301080</v>
      </c>
      <c r="E358" s="221">
        <v>1150404</v>
      </c>
      <c r="F358" s="207">
        <f t="shared" si="27"/>
        <v>575202</v>
      </c>
      <c r="G358" s="207">
        <f t="shared" si="28"/>
        <v>2150540</v>
      </c>
      <c r="H358" s="207">
        <v>26907254</v>
      </c>
      <c r="I358" s="206">
        <v>58900</v>
      </c>
      <c r="J358" s="220">
        <f t="shared" si="29"/>
        <v>456.82943972835312</v>
      </c>
      <c r="K358" s="207">
        <v>4255209</v>
      </c>
      <c r="L358" s="202">
        <v>12500</v>
      </c>
      <c r="M358" s="203">
        <f t="shared" si="30"/>
        <v>340.41672</v>
      </c>
      <c r="N358" s="229">
        <v>39933</v>
      </c>
      <c r="O358" s="202">
        <v>7600</v>
      </c>
      <c r="P358" s="203">
        <f t="shared" si="31"/>
        <v>5.2543421052631576</v>
      </c>
    </row>
    <row r="359" spans="1:16" ht="15.75" customHeight="1">
      <c r="A359" s="223" t="s">
        <v>454</v>
      </c>
      <c r="B359" s="183">
        <v>45756</v>
      </c>
      <c r="C359" s="171">
        <v>5</v>
      </c>
      <c r="D359" s="207">
        <v>1259887</v>
      </c>
      <c r="E359" s="221">
        <v>767005</v>
      </c>
      <c r="F359" s="207">
        <f t="shared" si="27"/>
        <v>153401</v>
      </c>
      <c r="G359" s="207">
        <f t="shared" si="28"/>
        <v>251977.4</v>
      </c>
      <c r="H359" s="207">
        <v>11273310</v>
      </c>
      <c r="I359" s="206">
        <v>18000</v>
      </c>
      <c r="J359" s="220">
        <f t="shared" si="29"/>
        <v>626.29499999999996</v>
      </c>
      <c r="K359" s="207">
        <v>1258381</v>
      </c>
      <c r="L359" s="202">
        <v>900</v>
      </c>
      <c r="M359" s="203">
        <f t="shared" si="30"/>
        <v>1398.201111111111</v>
      </c>
      <c r="N359" s="229">
        <v>9764</v>
      </c>
      <c r="O359" s="202">
        <v>1500</v>
      </c>
      <c r="P359" s="203">
        <f t="shared" si="31"/>
        <v>6.5093333333333332</v>
      </c>
    </row>
    <row r="360" spans="1:16" ht="15.75" customHeight="1">
      <c r="A360" s="223" t="s">
        <v>455</v>
      </c>
      <c r="B360" s="183">
        <v>45883</v>
      </c>
      <c r="C360" s="171">
        <v>9</v>
      </c>
      <c r="D360" s="207">
        <v>176572</v>
      </c>
      <c r="E360" s="221">
        <v>779194</v>
      </c>
      <c r="F360" s="207">
        <f t="shared" si="27"/>
        <v>86577.111111111109</v>
      </c>
      <c r="G360" s="207">
        <f t="shared" si="28"/>
        <v>19619.111111111109</v>
      </c>
      <c r="H360" s="207">
        <v>1008382</v>
      </c>
      <c r="I360" s="206">
        <v>1882</v>
      </c>
      <c r="J360" s="220">
        <f t="shared" si="29"/>
        <v>535.80340063761957</v>
      </c>
      <c r="K360" s="207">
        <v>163437</v>
      </c>
      <c r="L360" s="202">
        <v>235.5</v>
      </c>
      <c r="M360" s="203">
        <f t="shared" si="30"/>
        <v>694</v>
      </c>
      <c r="N360" s="229">
        <v>7716</v>
      </c>
      <c r="O360" s="202">
        <v>499.64</v>
      </c>
      <c r="P360" s="203">
        <f t="shared" si="31"/>
        <v>15.443119045712914</v>
      </c>
    </row>
    <row r="361" spans="1:16" ht="15.75" customHeight="1">
      <c r="A361" s="223" t="s">
        <v>456</v>
      </c>
      <c r="B361" s="183">
        <v>45870</v>
      </c>
      <c r="C361" s="171">
        <v>12</v>
      </c>
      <c r="D361" s="207">
        <v>291783</v>
      </c>
      <c r="E361" s="221">
        <v>1448972</v>
      </c>
      <c r="F361" s="207">
        <f t="shared" si="27"/>
        <v>120747.66666666667</v>
      </c>
      <c r="G361" s="207">
        <f t="shared" si="28"/>
        <v>24315.25</v>
      </c>
      <c r="H361" s="207">
        <v>2183175</v>
      </c>
      <c r="I361" s="206">
        <v>2763</v>
      </c>
      <c r="J361" s="220">
        <f t="shared" si="29"/>
        <v>790.14657980456025</v>
      </c>
      <c r="K361" s="207">
        <v>280694</v>
      </c>
      <c r="L361" s="202">
        <v>997.96</v>
      </c>
      <c r="M361" s="203">
        <f t="shared" si="30"/>
        <v>281.26778628401939</v>
      </c>
      <c r="N361" s="229">
        <v>5247</v>
      </c>
      <c r="O361" s="202">
        <v>1249.8800000000001</v>
      </c>
      <c r="P361" s="203">
        <f t="shared" si="31"/>
        <v>4.1980030082887954</v>
      </c>
    </row>
    <row r="362" spans="1:16" ht="15.75" customHeight="1">
      <c r="A362" s="223" t="s">
        <v>310</v>
      </c>
      <c r="B362" s="183">
        <v>45861</v>
      </c>
      <c r="C362" s="171">
        <v>12</v>
      </c>
      <c r="D362" s="207">
        <v>250957</v>
      </c>
      <c r="E362" s="221">
        <v>1407885</v>
      </c>
      <c r="F362" s="207">
        <f t="shared" si="27"/>
        <v>117323.75</v>
      </c>
      <c r="G362" s="207">
        <f t="shared" si="28"/>
        <v>20913.083333333332</v>
      </c>
      <c r="H362" s="207">
        <v>2192734</v>
      </c>
      <c r="I362" s="206">
        <v>2000</v>
      </c>
      <c r="J362" s="220">
        <f t="shared" si="29"/>
        <v>1096.367</v>
      </c>
      <c r="K362" s="207">
        <v>236439</v>
      </c>
      <c r="L362" s="202">
        <v>1500</v>
      </c>
      <c r="M362" s="203">
        <f t="shared" si="30"/>
        <v>157.626</v>
      </c>
      <c r="N362" s="229">
        <v>5995</v>
      </c>
      <c r="O362" s="202">
        <v>500</v>
      </c>
      <c r="P362" s="203">
        <f t="shared" si="31"/>
        <v>11.99</v>
      </c>
    </row>
    <row r="363" spans="1:16" ht="15.75" customHeight="1">
      <c r="A363" s="223" t="s">
        <v>457</v>
      </c>
      <c r="B363" s="183">
        <v>45870</v>
      </c>
      <c r="C363" s="171">
        <v>32</v>
      </c>
      <c r="D363" s="207">
        <v>471644</v>
      </c>
      <c r="E363" s="221">
        <v>3308912</v>
      </c>
      <c r="F363" s="207">
        <f t="shared" si="27"/>
        <v>103403.5</v>
      </c>
      <c r="G363" s="207">
        <f t="shared" si="28"/>
        <v>14738.875</v>
      </c>
      <c r="H363" s="207">
        <v>2851730</v>
      </c>
      <c r="I363" s="206">
        <v>2267.85</v>
      </c>
      <c r="J363" s="220">
        <f t="shared" si="29"/>
        <v>1257.4597085345151</v>
      </c>
      <c r="K363" s="207">
        <v>447788</v>
      </c>
      <c r="L363" s="202">
        <v>686.77</v>
      </c>
      <c r="M363" s="203">
        <f t="shared" si="30"/>
        <v>652.02032703816417</v>
      </c>
      <c r="N363" s="229">
        <v>15672</v>
      </c>
      <c r="O363" s="202">
        <v>749.99</v>
      </c>
      <c r="P363" s="203">
        <f t="shared" si="31"/>
        <v>20.896278617048228</v>
      </c>
    </row>
    <row r="364" spans="1:16" ht="15.75" customHeight="1">
      <c r="A364" s="223" t="s">
        <v>458</v>
      </c>
      <c r="B364" s="183">
        <v>45856</v>
      </c>
      <c r="C364" s="171">
        <v>12</v>
      </c>
      <c r="D364" s="207">
        <v>289429</v>
      </c>
      <c r="E364" s="221">
        <v>1320229</v>
      </c>
      <c r="F364" s="207">
        <f t="shared" si="27"/>
        <v>110019.08333333333</v>
      </c>
      <c r="G364" s="207">
        <f t="shared" si="28"/>
        <v>24119.083333333332</v>
      </c>
      <c r="H364" s="207">
        <v>1347201</v>
      </c>
      <c r="I364" s="206">
        <v>1708.86</v>
      </c>
      <c r="J364" s="220">
        <f t="shared" si="29"/>
        <v>788.36241704996314</v>
      </c>
      <c r="K364" s="207">
        <v>278372</v>
      </c>
      <c r="L364" s="202">
        <v>533.33000000000004</v>
      </c>
      <c r="M364" s="203">
        <f t="shared" si="30"/>
        <v>521.95076219226371</v>
      </c>
      <c r="N364" s="229">
        <v>8417</v>
      </c>
      <c r="O364" s="202">
        <v>749.96</v>
      </c>
      <c r="P364" s="203">
        <f t="shared" si="31"/>
        <v>11.223265240812843</v>
      </c>
    </row>
    <row r="365" spans="1:16" ht="15.75" customHeight="1">
      <c r="A365" s="223" t="s">
        <v>407</v>
      </c>
      <c r="B365" s="183">
        <v>45883</v>
      </c>
      <c r="C365" s="171">
        <v>10</v>
      </c>
      <c r="D365" s="207">
        <v>430913</v>
      </c>
      <c r="E365" s="221">
        <v>899878</v>
      </c>
      <c r="F365" s="207">
        <f t="shared" si="27"/>
        <v>89987.8</v>
      </c>
      <c r="G365" s="207">
        <f t="shared" si="28"/>
        <v>43091.3</v>
      </c>
      <c r="H365" s="207">
        <v>1861662</v>
      </c>
      <c r="I365" s="206">
        <v>3109.31</v>
      </c>
      <c r="J365" s="220">
        <f t="shared" si="29"/>
        <v>598.73798366840231</v>
      </c>
      <c r="K365" s="207">
        <v>402490</v>
      </c>
      <c r="L365" s="202">
        <v>385.85</v>
      </c>
      <c r="M365" s="203">
        <f t="shared" si="30"/>
        <v>1043.125566930154</v>
      </c>
      <c r="N365" s="229">
        <v>23976</v>
      </c>
      <c r="O365" s="202">
        <v>997.48</v>
      </c>
      <c r="P365" s="203">
        <f t="shared" si="31"/>
        <v>24.036572161847857</v>
      </c>
    </row>
    <row r="366" spans="1:16" ht="15.75" customHeight="1">
      <c r="A366" s="223" t="s">
        <v>459</v>
      </c>
      <c r="B366" s="183">
        <v>45897</v>
      </c>
      <c r="C366" s="171">
        <v>10</v>
      </c>
      <c r="D366" s="207">
        <v>220827</v>
      </c>
      <c r="E366" s="221">
        <v>1484222</v>
      </c>
      <c r="F366" s="207">
        <f t="shared" si="27"/>
        <v>148422.20000000001</v>
      </c>
      <c r="G366" s="207">
        <f t="shared" si="28"/>
        <v>22082.7</v>
      </c>
      <c r="H366" s="207">
        <v>1439547</v>
      </c>
      <c r="I366" s="206">
        <v>2371.27</v>
      </c>
      <c r="J366" s="220">
        <f t="shared" si="29"/>
        <v>607.0784853685999</v>
      </c>
      <c r="K366" s="207">
        <v>206076</v>
      </c>
      <c r="L366" s="202">
        <v>383.76</v>
      </c>
      <c r="M366" s="203">
        <f t="shared" si="30"/>
        <v>536.99186991869919</v>
      </c>
      <c r="N366" s="229">
        <v>8155</v>
      </c>
      <c r="O366" s="202">
        <v>786.31</v>
      </c>
      <c r="P366" s="203">
        <f t="shared" si="31"/>
        <v>10.371227632867445</v>
      </c>
    </row>
    <row r="367" spans="1:16" ht="15.75" customHeight="1">
      <c r="A367" s="223" t="s">
        <v>404</v>
      </c>
      <c r="B367" s="183">
        <v>45860</v>
      </c>
      <c r="C367" s="171">
        <v>12</v>
      </c>
      <c r="D367" s="207">
        <v>188558</v>
      </c>
      <c r="E367" s="221">
        <v>714073</v>
      </c>
      <c r="F367" s="207">
        <f t="shared" si="27"/>
        <v>59506.083333333336</v>
      </c>
      <c r="G367" s="207">
        <f t="shared" si="28"/>
        <v>15713.166666666666</v>
      </c>
      <c r="H367" s="207">
        <v>2351309</v>
      </c>
      <c r="I367" s="206">
        <v>3536.79</v>
      </c>
      <c r="J367" s="220">
        <f t="shared" si="29"/>
        <v>664.81442211723061</v>
      </c>
      <c r="K367" s="207">
        <v>170787</v>
      </c>
      <c r="L367" s="202">
        <v>772.85</v>
      </c>
      <c r="M367" s="203">
        <f t="shared" si="30"/>
        <v>220.98337322895776</v>
      </c>
      <c r="N367" s="229">
        <v>16490</v>
      </c>
      <c r="O367" s="202">
        <v>1249.98</v>
      </c>
      <c r="P367" s="203">
        <f t="shared" si="31"/>
        <v>13.192211075377205</v>
      </c>
    </row>
    <row r="368" spans="1:16" ht="15.75" customHeight="1">
      <c r="A368" s="223" t="s">
        <v>460</v>
      </c>
      <c r="B368" s="222">
        <v>45915</v>
      </c>
      <c r="C368" s="171">
        <v>12</v>
      </c>
      <c r="D368" s="207">
        <v>1032073</v>
      </c>
      <c r="E368" s="230">
        <v>1058289</v>
      </c>
      <c r="F368" s="207">
        <f t="shared" si="27"/>
        <v>88190.75</v>
      </c>
      <c r="G368" s="207">
        <f t="shared" si="28"/>
        <v>86006.083333333328</v>
      </c>
      <c r="H368" s="207">
        <v>7525910</v>
      </c>
      <c r="I368" s="206">
        <v>14635.88</v>
      </c>
      <c r="J368" s="220">
        <f t="shared" si="29"/>
        <v>514.2095999693903</v>
      </c>
      <c r="K368" s="207">
        <v>1006522</v>
      </c>
      <c r="L368" s="202">
        <v>1191.6199999999999</v>
      </c>
      <c r="M368" s="203">
        <f t="shared" si="30"/>
        <v>844.66692401940224</v>
      </c>
      <c r="N368" s="229">
        <v>14102</v>
      </c>
      <c r="O368" s="202">
        <v>1803.91</v>
      </c>
      <c r="P368" s="203">
        <f t="shared" si="31"/>
        <v>7.8174631772095058</v>
      </c>
    </row>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0890E-4D93-AA47-889A-D7F188C5AE3D}">
  <dimension ref="A1:BM237"/>
  <sheetViews>
    <sheetView workbookViewId="0">
      <selection activeCell="E27" sqref="E27"/>
    </sheetView>
  </sheetViews>
  <sheetFormatPr defaultColWidth="11.5546875" defaultRowHeight="13.2"/>
  <cols>
    <col min="2" max="2" width="23.77734375" customWidth="1"/>
    <col min="3" max="3" width="15.77734375" customWidth="1"/>
    <col min="5" max="5" width="23.77734375" customWidth="1"/>
    <col min="6" max="6" width="15.109375" customWidth="1"/>
    <col min="8" max="8" width="24.6640625" customWidth="1"/>
    <col min="9" max="9" width="14" customWidth="1"/>
  </cols>
  <sheetData>
    <row r="1" spans="1:28">
      <c r="A1" s="108"/>
      <c r="B1" s="108"/>
      <c r="C1" s="108"/>
      <c r="D1" s="108"/>
      <c r="E1" s="108"/>
      <c r="F1" s="108"/>
      <c r="G1" s="108"/>
      <c r="H1" s="108"/>
      <c r="I1" s="108"/>
      <c r="J1" s="108"/>
      <c r="K1" s="108"/>
      <c r="L1" s="108"/>
      <c r="M1" s="108"/>
      <c r="N1" s="108"/>
      <c r="O1" s="108"/>
      <c r="P1" s="114"/>
      <c r="Q1" s="114"/>
      <c r="R1" s="114"/>
      <c r="S1" s="114"/>
      <c r="T1" s="114"/>
      <c r="U1" s="114"/>
      <c r="V1" s="114"/>
      <c r="W1" s="114"/>
      <c r="X1" s="107"/>
      <c r="Y1" s="107"/>
      <c r="Z1" s="107"/>
      <c r="AA1" s="107"/>
    </row>
    <row r="2" spans="1:28">
      <c r="A2" s="110"/>
      <c r="B2" s="119"/>
      <c r="C2" s="119"/>
      <c r="D2" s="110"/>
      <c r="E2" s="119"/>
      <c r="F2" s="119"/>
      <c r="G2" s="110"/>
      <c r="H2" s="119"/>
      <c r="I2" s="119"/>
      <c r="J2" s="110"/>
      <c r="K2" s="110"/>
      <c r="L2" s="110"/>
      <c r="M2" s="110"/>
      <c r="N2" s="110"/>
      <c r="O2" s="111"/>
      <c r="P2" s="108"/>
      <c r="Q2" s="108"/>
      <c r="R2" s="108"/>
      <c r="S2" s="108"/>
      <c r="T2" s="108"/>
      <c r="U2" s="108"/>
      <c r="V2" s="108"/>
      <c r="W2" s="108"/>
      <c r="X2" s="108"/>
      <c r="Y2" s="108"/>
      <c r="Z2" s="108"/>
      <c r="AA2" s="108"/>
      <c r="AB2" s="107"/>
    </row>
    <row r="3" spans="1:28" ht="28.95" customHeight="1">
      <c r="A3" s="112"/>
      <c r="B3" s="274" t="s">
        <v>174</v>
      </c>
      <c r="C3" s="275"/>
      <c r="D3" s="113"/>
      <c r="E3" s="274" t="s">
        <v>175</v>
      </c>
      <c r="F3" s="275"/>
      <c r="G3" s="113"/>
      <c r="H3" s="274" t="s">
        <v>176</v>
      </c>
      <c r="I3" s="275"/>
      <c r="J3" s="109"/>
      <c r="K3" s="108"/>
      <c r="L3" s="108"/>
      <c r="M3" s="108"/>
      <c r="N3" s="108"/>
      <c r="O3" s="112"/>
      <c r="P3" s="108"/>
      <c r="Q3" s="108"/>
      <c r="R3" s="108"/>
      <c r="S3" s="108"/>
      <c r="T3" s="108"/>
      <c r="U3" s="108"/>
      <c r="V3" s="108"/>
      <c r="W3" s="108"/>
      <c r="X3" s="108"/>
      <c r="Y3" s="108"/>
      <c r="Z3" s="108"/>
      <c r="AA3" s="108"/>
      <c r="AB3" s="107"/>
    </row>
    <row r="4" spans="1:28" s="118" customFormat="1" ht="22.05" customHeight="1">
      <c r="A4" s="116"/>
      <c r="B4" s="121" t="s">
        <v>167</v>
      </c>
      <c r="C4" s="122">
        <f>SUM('Influencer Pricing Worksheet'!C13,'Influencer Pricing Worksheet'!C16,'Influencer Pricing Worksheet'!C27,'Influencer Pricing Worksheet'!C19,'Influencer Pricing Worksheet'!C22)</f>
        <v>7500</v>
      </c>
      <c r="D4" s="123"/>
      <c r="E4" s="121" t="s">
        <v>167</v>
      </c>
      <c r="F4" s="122">
        <f>SUM('Influencer Pricing Worksheet'!F13,'Influencer Pricing Worksheet'!F16,'Influencer Pricing Worksheet'!F27,'Influencer Pricing Worksheet'!F19,'Influencer Pricing Worksheet'!F22)</f>
        <v>7500</v>
      </c>
      <c r="G4" s="123"/>
      <c r="H4" s="121" t="s">
        <v>167</v>
      </c>
      <c r="I4" s="122">
        <f>SUM('Influencer Pricing Worksheet'!I13,'Influencer Pricing Worksheet'!I16,'Influencer Pricing Worksheet'!I27,'Influencer Pricing Worksheet'!I19,'Influencer Pricing Worksheet'!I22)</f>
        <v>7500</v>
      </c>
      <c r="J4" s="120"/>
      <c r="K4" s="115"/>
      <c r="L4" s="115"/>
      <c r="M4" s="115"/>
      <c r="N4" s="115"/>
      <c r="O4" s="116"/>
      <c r="P4" s="115"/>
      <c r="Q4" s="115"/>
      <c r="R4" s="115"/>
      <c r="S4" s="115"/>
      <c r="T4" s="115"/>
      <c r="U4" s="115"/>
      <c r="V4" s="115"/>
      <c r="W4" s="115"/>
      <c r="X4" s="115"/>
      <c r="Y4" s="115"/>
      <c r="Z4" s="115"/>
      <c r="AA4" s="115"/>
      <c r="AB4" s="117"/>
    </row>
    <row r="5" spans="1:28" s="118" customFormat="1" ht="22.05" customHeight="1">
      <c r="A5" s="116"/>
      <c r="B5" s="121" t="s">
        <v>168</v>
      </c>
      <c r="C5" s="122">
        <f>'Influencer Pricing Worksheet'!C31-Margin!C4</f>
        <v>9672</v>
      </c>
      <c r="D5" s="123"/>
      <c r="E5" s="121" t="s">
        <v>168</v>
      </c>
      <c r="F5" s="122">
        <f>'Influencer Pricing Worksheet'!F31-Margin!F4</f>
        <v>9672</v>
      </c>
      <c r="G5" s="123"/>
      <c r="H5" s="121" t="s">
        <v>168</v>
      </c>
      <c r="I5" s="122">
        <f>'Influencer Pricing Worksheet'!I31-Margin!I4</f>
        <v>9672</v>
      </c>
      <c r="J5" s="120"/>
      <c r="K5" s="115"/>
      <c r="L5" s="115"/>
      <c r="M5" s="115"/>
      <c r="N5" s="115"/>
      <c r="O5" s="116"/>
      <c r="P5" s="115"/>
      <c r="Q5" s="115"/>
      <c r="R5" s="115"/>
      <c r="S5" s="115"/>
      <c r="T5" s="115"/>
      <c r="U5" s="115"/>
      <c r="V5" s="115"/>
      <c r="W5" s="115"/>
      <c r="X5" s="115"/>
      <c r="Y5" s="115"/>
      <c r="Z5" s="115"/>
      <c r="AA5" s="115"/>
      <c r="AB5" s="117"/>
    </row>
    <row r="6" spans="1:28" s="118" customFormat="1" ht="21" customHeight="1">
      <c r="A6" s="116"/>
      <c r="B6" s="121" t="s">
        <v>173</v>
      </c>
      <c r="C6" s="124">
        <f>C5/'Influencer Pricing Worksheet'!C31</f>
        <v>0.56324248777078967</v>
      </c>
      <c r="D6" s="123"/>
      <c r="E6" s="121" t="s">
        <v>173</v>
      </c>
      <c r="F6" s="124">
        <f>F5/'Influencer Pricing Worksheet'!F31</f>
        <v>0.56324248777078967</v>
      </c>
      <c r="G6" s="123"/>
      <c r="H6" s="121" t="s">
        <v>173</v>
      </c>
      <c r="I6" s="124">
        <f>I5/'Influencer Pricing Worksheet'!I31</f>
        <v>0.56324248777078967</v>
      </c>
      <c r="J6" s="120"/>
      <c r="K6" s="115"/>
      <c r="L6" s="115"/>
      <c r="M6" s="115"/>
      <c r="N6" s="115"/>
      <c r="O6" s="116"/>
      <c r="P6" s="115"/>
      <c r="Q6" s="115"/>
      <c r="R6" s="115"/>
      <c r="S6" s="115"/>
      <c r="T6" s="115"/>
      <c r="U6" s="115"/>
      <c r="V6" s="115"/>
      <c r="W6" s="115"/>
      <c r="X6" s="115"/>
      <c r="Y6" s="115"/>
      <c r="Z6" s="115"/>
      <c r="AA6" s="115"/>
      <c r="AB6" s="117"/>
    </row>
    <row r="7" spans="1:28">
      <c r="A7" s="108"/>
      <c r="B7" s="110"/>
      <c r="C7" s="110"/>
      <c r="D7" s="108"/>
      <c r="E7" s="110"/>
      <c r="F7" s="110"/>
      <c r="G7" s="108"/>
      <c r="H7" s="110"/>
      <c r="I7" s="110"/>
      <c r="J7" s="108"/>
      <c r="K7" s="108"/>
      <c r="L7" s="108"/>
      <c r="M7" s="108"/>
      <c r="N7" s="108"/>
      <c r="O7" s="112"/>
      <c r="P7" s="108"/>
      <c r="Q7" s="108"/>
      <c r="R7" s="108"/>
      <c r="S7" s="108"/>
      <c r="T7" s="108"/>
      <c r="U7" s="108"/>
      <c r="V7" s="108"/>
      <c r="W7" s="108"/>
      <c r="X7" s="108"/>
      <c r="Y7" s="108"/>
      <c r="Z7" s="108"/>
      <c r="AA7" s="108"/>
      <c r="AB7" s="107"/>
    </row>
    <row r="8" spans="1:28">
      <c r="A8" s="108"/>
      <c r="B8" s="108"/>
      <c r="C8" s="108"/>
      <c r="D8" s="108"/>
      <c r="E8" s="108"/>
      <c r="F8" s="108"/>
      <c r="G8" s="108"/>
      <c r="H8" s="108"/>
      <c r="I8" s="108"/>
      <c r="J8" s="108"/>
      <c r="K8" s="108"/>
      <c r="L8" s="108"/>
      <c r="M8" s="108"/>
      <c r="N8" s="108"/>
      <c r="O8" s="112"/>
      <c r="P8" s="108"/>
      <c r="Q8" s="108"/>
      <c r="R8" s="108"/>
      <c r="S8" s="108"/>
      <c r="T8" s="108"/>
      <c r="U8" s="108"/>
      <c r="V8" s="108"/>
      <c r="W8" s="108"/>
      <c r="X8" s="108"/>
      <c r="Y8" s="108"/>
      <c r="Z8" s="108"/>
      <c r="AA8" s="108"/>
      <c r="AB8" s="107"/>
    </row>
    <row r="9" spans="1:28">
      <c r="A9" s="108"/>
      <c r="B9" s="108"/>
      <c r="C9" s="108"/>
      <c r="D9" s="108"/>
      <c r="E9" s="108"/>
      <c r="F9" s="108"/>
      <c r="G9" s="108"/>
      <c r="H9" s="108"/>
      <c r="I9" s="108"/>
      <c r="J9" s="108"/>
      <c r="K9" s="108"/>
      <c r="L9" s="108"/>
      <c r="M9" s="108"/>
      <c r="N9" s="108"/>
      <c r="O9" s="112"/>
      <c r="P9" s="108"/>
      <c r="Q9" s="108"/>
      <c r="R9" s="108"/>
      <c r="S9" s="108"/>
      <c r="T9" s="108"/>
      <c r="U9" s="108"/>
      <c r="V9" s="108"/>
      <c r="W9" s="108"/>
      <c r="X9" s="108"/>
      <c r="Y9" s="108"/>
      <c r="Z9" s="108"/>
      <c r="AA9" s="108"/>
      <c r="AB9" s="107"/>
    </row>
    <row r="10" spans="1:28">
      <c r="A10" s="108"/>
      <c r="B10" s="108"/>
      <c r="C10" s="108"/>
      <c r="D10" s="108"/>
      <c r="E10" s="108"/>
      <c r="F10" s="108"/>
      <c r="G10" s="108"/>
      <c r="H10" s="108"/>
      <c r="I10" s="108"/>
      <c r="J10" s="108"/>
      <c r="K10" s="108"/>
      <c r="L10" s="108"/>
      <c r="M10" s="108"/>
      <c r="N10" s="108"/>
      <c r="O10" s="112"/>
      <c r="P10" s="108"/>
      <c r="Q10" s="108"/>
      <c r="R10" s="108"/>
      <c r="S10" s="108"/>
      <c r="T10" s="108"/>
      <c r="U10" s="108"/>
      <c r="V10" s="108"/>
      <c r="W10" s="108"/>
      <c r="X10" s="108"/>
      <c r="Y10" s="108"/>
      <c r="Z10" s="108"/>
      <c r="AA10" s="108"/>
      <c r="AB10" s="107"/>
    </row>
    <row r="11" spans="1:28">
      <c r="A11" s="108"/>
      <c r="B11" s="108"/>
      <c r="C11" s="108"/>
      <c r="D11" s="108"/>
      <c r="E11" s="108"/>
      <c r="F11" s="108"/>
      <c r="G11" s="108"/>
      <c r="H11" s="108"/>
      <c r="I11" s="108"/>
      <c r="J11" s="108"/>
      <c r="K11" s="108"/>
      <c r="L11" s="108"/>
      <c r="M11" s="108"/>
      <c r="N11" s="108"/>
      <c r="O11" s="112"/>
      <c r="P11" s="108"/>
      <c r="Q11" s="108"/>
      <c r="R11" s="108"/>
      <c r="S11" s="108"/>
      <c r="T11" s="108"/>
      <c r="U11" s="108"/>
      <c r="V11" s="108"/>
      <c r="W11" s="108"/>
      <c r="X11" s="108"/>
      <c r="Y11" s="108"/>
      <c r="Z11" s="108"/>
      <c r="AA11" s="108"/>
      <c r="AB11" s="107"/>
    </row>
    <row r="12" spans="1:28">
      <c r="A12" s="108"/>
      <c r="B12" s="108"/>
      <c r="C12" s="108"/>
      <c r="D12" s="108"/>
      <c r="E12" s="108"/>
      <c r="F12" s="108"/>
      <c r="G12" s="108"/>
      <c r="H12" s="108"/>
      <c r="I12" s="108"/>
      <c r="J12" s="108"/>
      <c r="K12" s="108"/>
      <c r="L12" s="108"/>
      <c r="M12" s="108"/>
      <c r="N12" s="108"/>
      <c r="O12" s="112"/>
      <c r="P12" s="108"/>
      <c r="Q12" s="108"/>
      <c r="R12" s="108"/>
      <c r="S12" s="108"/>
      <c r="T12" s="108"/>
      <c r="U12" s="108"/>
      <c r="V12" s="108"/>
      <c r="W12" s="108"/>
      <c r="X12" s="108"/>
      <c r="Y12" s="108"/>
      <c r="Z12" s="108"/>
      <c r="AA12" s="108"/>
      <c r="AB12" s="107"/>
    </row>
    <row r="13" spans="1:28">
      <c r="A13" s="108"/>
      <c r="B13" s="108"/>
      <c r="C13" s="108"/>
      <c r="D13" s="108"/>
      <c r="E13" s="108"/>
      <c r="F13" s="108"/>
      <c r="G13" s="108"/>
      <c r="H13" s="108"/>
      <c r="I13" s="108"/>
      <c r="J13" s="108"/>
      <c r="K13" s="108"/>
      <c r="L13" s="108"/>
      <c r="M13" s="108"/>
      <c r="N13" s="108"/>
      <c r="O13" s="112"/>
      <c r="P13" s="108"/>
      <c r="Q13" s="108"/>
      <c r="R13" s="108"/>
      <c r="S13" s="108"/>
      <c r="T13" s="108"/>
      <c r="U13" s="108"/>
      <c r="V13" s="108"/>
      <c r="W13" s="108"/>
      <c r="X13" s="108"/>
      <c r="Y13" s="108"/>
      <c r="Z13" s="108"/>
      <c r="AA13" s="108"/>
      <c r="AB13" s="107"/>
    </row>
    <row r="14" spans="1:28">
      <c r="A14" s="108"/>
      <c r="B14" s="108"/>
      <c r="C14" s="108"/>
      <c r="D14" s="108"/>
      <c r="E14" s="108"/>
      <c r="F14" s="108"/>
      <c r="G14" s="108"/>
      <c r="H14" s="108"/>
      <c r="I14" s="108"/>
      <c r="J14" s="108"/>
      <c r="K14" s="108"/>
      <c r="L14" s="108"/>
      <c r="M14" s="108"/>
      <c r="N14" s="108"/>
      <c r="O14" s="112"/>
      <c r="P14" s="108"/>
      <c r="Q14" s="108"/>
      <c r="R14" s="108"/>
      <c r="S14" s="108"/>
      <c r="T14" s="108"/>
      <c r="U14" s="108"/>
      <c r="V14" s="108"/>
      <c r="W14" s="108"/>
      <c r="X14" s="108"/>
      <c r="Y14" s="108"/>
      <c r="Z14" s="108"/>
      <c r="AA14" s="108"/>
      <c r="AB14" s="107"/>
    </row>
    <row r="15" spans="1:28">
      <c r="A15" s="108"/>
      <c r="B15" s="108"/>
      <c r="C15" s="108"/>
      <c r="D15" s="108"/>
      <c r="E15" s="108"/>
      <c r="F15" s="108"/>
      <c r="G15" s="108"/>
      <c r="H15" s="108"/>
      <c r="I15" s="108"/>
      <c r="J15" s="108"/>
      <c r="K15" s="108"/>
      <c r="L15" s="108"/>
      <c r="M15" s="108"/>
      <c r="N15" s="108"/>
      <c r="O15" s="112"/>
      <c r="P15" s="108"/>
      <c r="Q15" s="108"/>
      <c r="R15" s="108"/>
      <c r="S15" s="108"/>
      <c r="T15" s="108"/>
      <c r="U15" s="108"/>
      <c r="V15" s="108"/>
      <c r="W15" s="108"/>
      <c r="X15" s="108"/>
      <c r="Y15" s="108"/>
      <c r="Z15" s="108"/>
      <c r="AA15" s="108"/>
      <c r="AB15" s="107"/>
    </row>
    <row r="16" spans="1:28">
      <c r="A16" s="108"/>
      <c r="B16" s="108"/>
      <c r="C16" s="108"/>
      <c r="D16" s="108"/>
      <c r="E16" s="108"/>
      <c r="F16" s="108"/>
      <c r="G16" s="108"/>
      <c r="H16" s="108"/>
      <c r="I16" s="108"/>
      <c r="J16" s="108"/>
      <c r="K16" s="108"/>
      <c r="L16" s="108"/>
      <c r="M16" s="108"/>
      <c r="N16" s="108"/>
      <c r="O16" s="112"/>
      <c r="P16" s="108"/>
      <c r="Q16" s="108"/>
      <c r="R16" s="108"/>
      <c r="S16" s="108"/>
      <c r="T16" s="108"/>
      <c r="U16" s="108"/>
      <c r="V16" s="108"/>
      <c r="W16" s="108"/>
      <c r="X16" s="108"/>
      <c r="Y16" s="108"/>
      <c r="Z16" s="108"/>
      <c r="AA16" s="108"/>
      <c r="AB16" s="107"/>
    </row>
    <row r="17" spans="1:65">
      <c r="A17" s="108"/>
      <c r="B17" s="108"/>
      <c r="C17" s="108"/>
      <c r="D17" s="108"/>
      <c r="E17" s="108"/>
      <c r="F17" s="108"/>
      <c r="G17" s="108"/>
      <c r="H17" s="108"/>
      <c r="I17" s="108"/>
      <c r="J17" s="108"/>
      <c r="K17" s="108"/>
      <c r="L17" s="108"/>
      <c r="M17" s="108"/>
      <c r="N17" s="108"/>
      <c r="O17" s="112"/>
      <c r="P17" s="108"/>
      <c r="Q17" s="108"/>
      <c r="R17" s="108"/>
      <c r="S17" s="108"/>
      <c r="T17" s="108"/>
      <c r="U17" s="108"/>
      <c r="V17" s="108"/>
      <c r="W17" s="108"/>
      <c r="X17" s="108"/>
      <c r="Y17" s="108"/>
      <c r="Z17" s="108"/>
      <c r="AA17" s="108"/>
      <c r="AB17" s="107"/>
    </row>
    <row r="18" spans="1:65">
      <c r="A18" s="108"/>
      <c r="B18" s="108"/>
      <c r="C18" s="108"/>
      <c r="D18" s="108"/>
      <c r="E18" s="108"/>
      <c r="F18" s="108"/>
      <c r="G18" s="108"/>
      <c r="H18" s="108"/>
      <c r="I18" s="108"/>
      <c r="J18" s="108"/>
      <c r="K18" s="108"/>
      <c r="L18" s="108"/>
      <c r="M18" s="108"/>
      <c r="N18" s="108"/>
      <c r="O18" s="112"/>
      <c r="P18" s="108"/>
      <c r="Q18" s="108"/>
      <c r="R18" s="108"/>
      <c r="S18" s="108"/>
      <c r="T18" s="108"/>
      <c r="U18" s="108"/>
      <c r="V18" s="108"/>
      <c r="W18" s="108"/>
      <c r="X18" s="108"/>
      <c r="Y18" s="108"/>
      <c r="Z18" s="108"/>
      <c r="AA18" s="108"/>
      <c r="AB18" s="107"/>
    </row>
    <row r="19" spans="1:65">
      <c r="A19" s="108"/>
      <c r="B19" s="108"/>
      <c r="C19" s="108"/>
      <c r="D19" s="108"/>
      <c r="E19" s="108"/>
      <c r="F19" s="108"/>
      <c r="G19" s="108"/>
      <c r="H19" s="108"/>
      <c r="I19" s="108"/>
      <c r="J19" s="108"/>
      <c r="K19" s="108"/>
      <c r="L19" s="108"/>
      <c r="M19" s="108"/>
      <c r="N19" s="108"/>
      <c r="O19" s="112"/>
      <c r="P19" s="108"/>
      <c r="Q19" s="108"/>
      <c r="R19" s="108"/>
      <c r="S19" s="108"/>
      <c r="T19" s="108"/>
      <c r="U19" s="108"/>
      <c r="V19" s="108"/>
      <c r="W19" s="108"/>
      <c r="X19" s="108"/>
      <c r="Y19" s="108"/>
      <c r="Z19" s="108"/>
      <c r="AA19" s="108"/>
      <c r="AB19" s="107"/>
    </row>
    <row r="20" spans="1:65">
      <c r="A20" s="108"/>
      <c r="B20" s="108"/>
      <c r="C20" s="108"/>
      <c r="D20" s="108"/>
      <c r="E20" s="108"/>
      <c r="F20" s="108"/>
      <c r="G20" s="108"/>
      <c r="H20" s="108"/>
      <c r="I20" s="108"/>
      <c r="J20" s="108"/>
      <c r="K20" s="108"/>
      <c r="L20" s="108"/>
      <c r="M20" s="108"/>
      <c r="N20" s="108"/>
      <c r="O20" s="112"/>
      <c r="P20" s="108"/>
      <c r="Q20" s="108"/>
      <c r="R20" s="108"/>
      <c r="S20" s="108"/>
      <c r="T20" s="108"/>
      <c r="U20" s="108"/>
      <c r="V20" s="108"/>
      <c r="W20" s="108"/>
      <c r="X20" s="108"/>
      <c r="Y20" s="108"/>
      <c r="Z20" s="108"/>
      <c r="AA20" s="108"/>
      <c r="AB20" s="107"/>
    </row>
    <row r="21" spans="1:65">
      <c r="A21" s="108"/>
      <c r="B21" s="108"/>
      <c r="C21" s="108"/>
      <c r="D21" s="108"/>
      <c r="E21" s="108"/>
      <c r="F21" s="108"/>
      <c r="G21" s="108"/>
      <c r="H21" s="108"/>
      <c r="I21" s="108"/>
      <c r="J21" s="108"/>
      <c r="K21" s="108"/>
      <c r="L21" s="108"/>
      <c r="M21" s="108"/>
      <c r="N21" s="108"/>
      <c r="O21" s="112"/>
      <c r="P21" s="108"/>
      <c r="Q21" s="108"/>
      <c r="R21" s="108"/>
      <c r="S21" s="108"/>
      <c r="T21" s="108"/>
      <c r="U21" s="108"/>
      <c r="V21" s="108"/>
      <c r="W21" s="108"/>
      <c r="X21" s="108"/>
      <c r="Y21" s="108"/>
      <c r="Z21" s="108"/>
      <c r="AA21" s="108"/>
      <c r="AB21" s="107"/>
    </row>
    <row r="22" spans="1:65">
      <c r="A22" s="108"/>
      <c r="B22" s="108"/>
      <c r="C22" s="108"/>
      <c r="D22" s="108"/>
      <c r="E22" s="108"/>
      <c r="F22" s="108"/>
      <c r="G22" s="108"/>
      <c r="H22" s="108"/>
      <c r="I22" s="108"/>
      <c r="J22" s="108"/>
      <c r="K22" s="108"/>
      <c r="L22" s="108"/>
      <c r="M22" s="108"/>
      <c r="N22" s="108"/>
      <c r="O22" s="112"/>
      <c r="P22" s="108"/>
      <c r="Q22" s="108"/>
      <c r="R22" s="108"/>
      <c r="S22" s="108"/>
      <c r="T22" s="108"/>
      <c r="U22" s="108"/>
      <c r="V22" s="108"/>
      <c r="W22" s="108"/>
      <c r="X22" s="108"/>
      <c r="Y22" s="108"/>
      <c r="Z22" s="108"/>
      <c r="AA22" s="108"/>
      <c r="AB22" s="107"/>
    </row>
    <row r="23" spans="1:65">
      <c r="A23" s="108"/>
      <c r="B23" s="108"/>
      <c r="C23" s="108"/>
      <c r="D23" s="108"/>
      <c r="E23" s="108"/>
      <c r="F23" s="108"/>
      <c r="G23" s="108"/>
      <c r="H23" s="108"/>
      <c r="I23" s="108"/>
      <c r="J23" s="108"/>
      <c r="K23" s="108"/>
      <c r="L23" s="108"/>
      <c r="M23" s="108"/>
      <c r="N23" s="108"/>
      <c r="O23" s="112"/>
      <c r="P23" s="108"/>
      <c r="Q23" s="108"/>
      <c r="R23" s="108"/>
      <c r="S23" s="108"/>
      <c r="T23" s="108"/>
      <c r="U23" s="108"/>
      <c r="V23" s="108"/>
      <c r="W23" s="108"/>
      <c r="X23" s="108"/>
      <c r="Y23" s="108"/>
      <c r="Z23" s="108"/>
      <c r="AA23" s="108"/>
      <c r="AB23" s="107"/>
    </row>
    <row r="24" spans="1:65">
      <c r="A24" s="108"/>
      <c r="B24" s="108"/>
      <c r="C24" s="108"/>
      <c r="D24" s="108"/>
      <c r="E24" s="108"/>
      <c r="F24" s="108"/>
      <c r="G24" s="108"/>
      <c r="H24" s="108"/>
      <c r="I24" s="108"/>
      <c r="J24" s="108"/>
      <c r="K24" s="108"/>
      <c r="L24" s="108"/>
      <c r="M24" s="108"/>
      <c r="N24" s="108"/>
      <c r="O24" s="112"/>
      <c r="P24" s="108"/>
      <c r="Q24" s="108"/>
      <c r="R24" s="108"/>
      <c r="S24" s="108"/>
      <c r="T24" s="108"/>
      <c r="U24" s="108"/>
      <c r="V24" s="108"/>
      <c r="W24" s="108"/>
      <c r="X24" s="108"/>
      <c r="Y24" s="108"/>
      <c r="Z24" s="108"/>
      <c r="AA24" s="108"/>
      <c r="AB24" s="107"/>
    </row>
    <row r="25" spans="1:65">
      <c r="A25" s="108"/>
      <c r="B25" s="108"/>
      <c r="C25" s="108"/>
      <c r="D25" s="108"/>
      <c r="E25" s="108"/>
      <c r="F25" s="108"/>
      <c r="G25" s="108"/>
      <c r="H25" s="108"/>
      <c r="I25" s="108"/>
      <c r="J25" s="108"/>
      <c r="K25" s="108"/>
      <c r="L25" s="108"/>
      <c r="M25" s="108"/>
      <c r="N25" s="108"/>
      <c r="O25" s="112"/>
      <c r="P25" s="108"/>
      <c r="Q25" s="108"/>
      <c r="R25" s="108"/>
      <c r="S25" s="108"/>
      <c r="T25" s="108"/>
      <c r="U25" s="108"/>
      <c r="V25" s="108"/>
      <c r="W25" s="108"/>
      <c r="X25" s="108"/>
      <c r="Y25" s="108"/>
      <c r="Z25" s="108"/>
      <c r="AA25" s="108"/>
      <c r="AB25" s="107"/>
    </row>
    <row r="26" spans="1:65">
      <c r="A26" s="108"/>
      <c r="B26" s="108"/>
      <c r="C26" s="108"/>
      <c r="D26" s="108"/>
      <c r="E26" s="108"/>
      <c r="F26" s="108"/>
      <c r="G26" s="108"/>
      <c r="H26" s="108"/>
      <c r="I26" s="108"/>
      <c r="J26" s="108"/>
      <c r="K26" s="108"/>
      <c r="L26" s="108"/>
      <c r="M26" s="108"/>
      <c r="N26" s="108"/>
      <c r="O26" s="112"/>
      <c r="P26" s="108"/>
      <c r="Q26" s="108"/>
      <c r="R26" s="108"/>
      <c r="S26" s="108"/>
      <c r="T26" s="108"/>
      <c r="U26" s="108"/>
      <c r="V26" s="108"/>
      <c r="W26" s="108"/>
      <c r="X26" s="108"/>
      <c r="Y26" s="108"/>
      <c r="Z26" s="108"/>
      <c r="AA26" s="108"/>
      <c r="AB26" s="107"/>
    </row>
    <row r="27" spans="1:65">
      <c r="A27" s="108"/>
      <c r="B27" s="108"/>
      <c r="C27" s="108"/>
      <c r="D27" s="108"/>
      <c r="E27" s="108"/>
      <c r="F27" s="108"/>
      <c r="G27" s="108"/>
      <c r="H27" s="108"/>
      <c r="I27" s="108"/>
      <c r="J27" s="108"/>
      <c r="K27" s="108"/>
      <c r="L27" s="108"/>
      <c r="M27" s="108"/>
      <c r="N27" s="108"/>
      <c r="O27" s="112"/>
      <c r="P27" s="108"/>
      <c r="Q27" s="108"/>
      <c r="R27" s="108"/>
      <c r="S27" s="108"/>
      <c r="T27" s="108"/>
      <c r="U27" s="108"/>
      <c r="V27" s="108"/>
      <c r="W27" s="108"/>
      <c r="X27" s="108"/>
      <c r="Y27" s="108"/>
      <c r="Z27" s="108"/>
      <c r="AA27" s="108"/>
      <c r="AB27" s="107"/>
    </row>
    <row r="28" spans="1:65">
      <c r="A28" s="108"/>
      <c r="B28" s="108"/>
      <c r="C28" s="108"/>
      <c r="D28" s="108"/>
      <c r="E28" s="108"/>
      <c r="F28" s="108"/>
      <c r="G28" s="108"/>
      <c r="H28" s="108"/>
      <c r="I28" s="108"/>
      <c r="J28" s="108"/>
      <c r="K28" s="108"/>
      <c r="L28" s="108"/>
      <c r="M28" s="108"/>
      <c r="N28" s="108"/>
      <c r="O28" s="112"/>
      <c r="P28" s="108"/>
      <c r="Q28" s="108"/>
      <c r="R28" s="108"/>
      <c r="S28" s="108"/>
      <c r="T28" s="108"/>
      <c r="U28" s="108"/>
      <c r="V28" s="108"/>
      <c r="W28" s="108"/>
      <c r="X28" s="108"/>
      <c r="Y28" s="108"/>
      <c r="Z28" s="108"/>
      <c r="AA28" s="108"/>
      <c r="AB28" s="107"/>
    </row>
    <row r="29" spans="1:65">
      <c r="A29" s="108"/>
      <c r="B29" s="108"/>
      <c r="C29" s="108"/>
      <c r="D29" s="108"/>
      <c r="E29" s="108"/>
      <c r="F29" s="108"/>
      <c r="G29" s="108"/>
      <c r="H29" s="108"/>
      <c r="I29" s="108"/>
      <c r="J29" s="108"/>
      <c r="K29" s="108"/>
      <c r="L29" s="108"/>
      <c r="M29" s="108"/>
      <c r="N29" s="108"/>
      <c r="O29" s="112"/>
      <c r="P29" s="108"/>
      <c r="Q29" s="108"/>
      <c r="R29" s="108"/>
      <c r="S29" s="108"/>
      <c r="T29" s="108"/>
      <c r="U29" s="108"/>
      <c r="V29" s="108"/>
      <c r="W29" s="108"/>
      <c r="X29" s="108"/>
      <c r="Y29" s="108"/>
      <c r="Z29" s="108"/>
      <c r="AA29" s="108"/>
      <c r="AB29" s="107"/>
    </row>
    <row r="30" spans="1:65">
      <c r="A30" s="108"/>
      <c r="B30" s="108"/>
      <c r="C30" s="108"/>
      <c r="D30" s="108"/>
      <c r="E30" s="108"/>
      <c r="F30" s="108"/>
      <c r="G30" s="108"/>
      <c r="H30" s="108"/>
      <c r="I30" s="108"/>
      <c r="J30" s="108"/>
      <c r="K30" s="108"/>
      <c r="L30" s="108"/>
      <c r="M30" s="108"/>
      <c r="N30" s="108"/>
      <c r="O30" s="113"/>
      <c r="P30" s="108"/>
      <c r="Q30" s="108"/>
      <c r="R30" s="108"/>
      <c r="S30" s="108"/>
      <c r="T30" s="108"/>
      <c r="U30" s="108"/>
      <c r="V30" s="108"/>
      <c r="W30" s="108"/>
      <c r="X30" s="108"/>
      <c r="Y30" s="108"/>
      <c r="Z30" s="108"/>
      <c r="AA30" s="108"/>
      <c r="AB30" s="107"/>
    </row>
    <row r="31" spans="1:65">
      <c r="A31" s="108"/>
      <c r="B31" s="108"/>
      <c r="C31" s="108"/>
      <c r="D31" s="108"/>
      <c r="E31" s="108"/>
      <c r="F31" s="108"/>
      <c r="G31" s="108"/>
      <c r="H31" s="108"/>
      <c r="I31" s="108"/>
      <c r="J31" s="108"/>
      <c r="K31" s="108"/>
      <c r="L31" s="108"/>
      <c r="M31" s="108"/>
      <c r="N31" s="108"/>
      <c r="O31" s="107"/>
      <c r="P31" s="108"/>
      <c r="Q31" s="108"/>
      <c r="R31" s="108"/>
      <c r="S31" s="108"/>
      <c r="T31" s="108"/>
      <c r="U31" s="108"/>
      <c r="V31" s="108"/>
      <c r="W31" s="108"/>
      <c r="X31" s="108"/>
      <c r="Y31" s="108"/>
      <c r="Z31" s="108"/>
      <c r="AA31" s="108"/>
      <c r="AB31" s="107"/>
    </row>
    <row r="32" spans="1:65">
      <c r="A32" s="108"/>
      <c r="B32" s="108"/>
      <c r="C32" s="108"/>
      <c r="D32" s="108"/>
      <c r="E32" s="108"/>
      <c r="F32" s="108"/>
      <c r="G32" s="108"/>
      <c r="H32" s="108"/>
      <c r="I32" s="108"/>
      <c r="J32" s="108"/>
      <c r="K32" s="108"/>
      <c r="L32" s="108"/>
      <c r="M32" s="108"/>
      <c r="N32" s="108"/>
      <c r="O32" s="113"/>
      <c r="P32" s="108"/>
      <c r="Q32" s="108"/>
      <c r="R32" s="108"/>
      <c r="S32" s="108"/>
      <c r="T32" s="108"/>
      <c r="U32" s="108"/>
      <c r="V32" s="108"/>
      <c r="W32" s="108"/>
      <c r="X32" s="108"/>
      <c r="Y32" s="108"/>
      <c r="Z32" s="108"/>
      <c r="AA32" s="108"/>
      <c r="AB32" s="109"/>
      <c r="AC32" s="108"/>
      <c r="AD32" s="108"/>
      <c r="AE32" s="108"/>
      <c r="AF32" s="108"/>
      <c r="AG32" s="108"/>
      <c r="AH32" s="108"/>
      <c r="AI32" s="108"/>
      <c r="AJ32" s="108"/>
      <c r="AK32" s="108"/>
      <c r="AL32" s="108"/>
      <c r="AM32" s="108"/>
      <c r="AN32" s="108"/>
      <c r="AO32" s="108"/>
      <c r="AP32" s="108"/>
      <c r="AQ32" s="108"/>
      <c r="AR32" s="108"/>
      <c r="AS32" s="108"/>
      <c r="AT32" s="108"/>
      <c r="AU32" s="108"/>
      <c r="AV32" s="108"/>
      <c r="AW32" s="108"/>
      <c r="AX32" s="108"/>
      <c r="AY32" s="108"/>
      <c r="AZ32" s="108"/>
      <c r="BA32" s="108"/>
      <c r="BB32" s="108"/>
      <c r="BC32" s="108"/>
      <c r="BD32" s="108"/>
      <c r="BE32" s="108"/>
      <c r="BF32" s="108"/>
      <c r="BG32" s="108"/>
      <c r="BH32" s="108"/>
      <c r="BI32" s="108"/>
      <c r="BJ32" s="108"/>
      <c r="BK32" s="108"/>
      <c r="BL32" s="108"/>
      <c r="BM32" s="108"/>
    </row>
    <row r="33" spans="1:65">
      <c r="A33" s="108"/>
      <c r="B33" s="108"/>
      <c r="C33" s="108"/>
      <c r="D33" s="108"/>
      <c r="E33" s="108"/>
      <c r="F33" s="108"/>
      <c r="G33" s="108"/>
      <c r="H33" s="108"/>
      <c r="I33" s="108"/>
      <c r="J33" s="108"/>
      <c r="K33" s="108"/>
      <c r="L33" s="108"/>
      <c r="M33" s="108"/>
      <c r="N33" s="108"/>
      <c r="O33" s="113"/>
      <c r="P33" s="108"/>
      <c r="Q33" s="108"/>
      <c r="R33" s="108"/>
      <c r="S33" s="108"/>
      <c r="T33" s="108"/>
      <c r="U33" s="108"/>
      <c r="V33" s="108"/>
      <c r="W33" s="108"/>
      <c r="X33" s="108"/>
      <c r="Y33" s="108"/>
      <c r="Z33" s="108"/>
      <c r="AA33" s="108"/>
      <c r="AB33" s="109"/>
      <c r="AC33" s="108"/>
      <c r="AD33" s="108"/>
      <c r="AE33" s="108"/>
      <c r="AF33" s="108"/>
      <c r="AG33" s="108"/>
      <c r="AH33" s="108"/>
      <c r="AI33" s="108"/>
      <c r="AJ33" s="108"/>
      <c r="AK33" s="108"/>
      <c r="AL33" s="108"/>
      <c r="AM33" s="108"/>
      <c r="AN33" s="108"/>
      <c r="AO33" s="108"/>
      <c r="AP33" s="108"/>
      <c r="AQ33" s="108"/>
      <c r="AR33" s="108"/>
      <c r="AS33" s="108"/>
      <c r="AT33" s="108"/>
      <c r="AU33" s="108"/>
      <c r="AV33" s="108"/>
      <c r="AW33" s="108"/>
      <c r="AX33" s="108"/>
      <c r="AY33" s="108"/>
      <c r="AZ33" s="108"/>
      <c r="BA33" s="108"/>
      <c r="BB33" s="108"/>
      <c r="BC33" s="108"/>
      <c r="BD33" s="108"/>
      <c r="BE33" s="108"/>
      <c r="BF33" s="108"/>
      <c r="BG33" s="108"/>
      <c r="BH33" s="108"/>
      <c r="BI33" s="108"/>
      <c r="BJ33" s="108"/>
      <c r="BK33" s="108"/>
      <c r="BL33" s="108"/>
      <c r="BM33" s="108"/>
    </row>
    <row r="34" spans="1:65">
      <c r="A34" s="108"/>
      <c r="B34" s="108"/>
      <c r="C34" s="108"/>
      <c r="D34" s="108"/>
      <c r="E34" s="108"/>
      <c r="F34" s="108"/>
      <c r="G34" s="108"/>
      <c r="H34" s="108"/>
      <c r="I34" s="108"/>
      <c r="J34" s="108"/>
      <c r="K34" s="108"/>
      <c r="L34" s="108"/>
      <c r="M34" s="108"/>
      <c r="N34" s="108"/>
      <c r="O34" s="113"/>
      <c r="P34" s="108"/>
      <c r="Q34" s="108"/>
      <c r="R34" s="108"/>
      <c r="S34" s="108"/>
      <c r="T34" s="108"/>
      <c r="U34" s="108"/>
      <c r="V34" s="108"/>
      <c r="W34" s="108"/>
      <c r="X34" s="108"/>
      <c r="Y34" s="108"/>
      <c r="Z34" s="108"/>
      <c r="AA34" s="108"/>
      <c r="AB34" s="109"/>
      <c r="AC34" s="108"/>
      <c r="AD34" s="108"/>
      <c r="AE34" s="108"/>
      <c r="AF34" s="108"/>
      <c r="AG34" s="108"/>
      <c r="AH34" s="108"/>
      <c r="AI34" s="108"/>
      <c r="AJ34" s="108"/>
      <c r="AK34" s="108"/>
      <c r="AL34" s="108"/>
      <c r="AM34" s="108"/>
      <c r="AN34" s="108"/>
      <c r="AO34" s="108"/>
      <c r="AP34" s="108"/>
      <c r="AQ34" s="108"/>
      <c r="AR34" s="108"/>
      <c r="AS34" s="108"/>
      <c r="AT34" s="108"/>
      <c r="AU34" s="108"/>
      <c r="AV34" s="108"/>
      <c r="AW34" s="108"/>
      <c r="AX34" s="108"/>
      <c r="AY34" s="108"/>
      <c r="AZ34" s="108"/>
      <c r="BA34" s="108"/>
      <c r="BB34" s="108"/>
      <c r="BC34" s="108"/>
      <c r="BD34" s="108"/>
      <c r="BE34" s="108"/>
      <c r="BF34" s="108"/>
      <c r="BG34" s="108"/>
      <c r="BH34" s="108"/>
      <c r="BI34" s="108"/>
      <c r="BJ34" s="108"/>
      <c r="BK34" s="108"/>
      <c r="BL34" s="108"/>
      <c r="BM34" s="108"/>
    </row>
    <row r="35" spans="1:65">
      <c r="A35" s="108"/>
      <c r="B35" s="108"/>
      <c r="C35" s="108"/>
      <c r="D35" s="108"/>
      <c r="E35" s="108"/>
      <c r="F35" s="108"/>
      <c r="G35" s="108"/>
      <c r="H35" s="108"/>
      <c r="I35" s="108"/>
      <c r="J35" s="108"/>
      <c r="K35" s="108"/>
      <c r="L35" s="108"/>
      <c r="M35" s="108"/>
      <c r="N35" s="108"/>
      <c r="O35" s="109"/>
      <c r="P35" s="108"/>
      <c r="Q35" s="108"/>
      <c r="R35" s="108"/>
      <c r="S35" s="108"/>
      <c r="T35" s="108"/>
      <c r="U35" s="108"/>
      <c r="V35" s="108"/>
      <c r="W35" s="108"/>
      <c r="X35" s="108"/>
      <c r="Y35" s="108"/>
      <c r="Z35" s="108"/>
      <c r="AA35" s="108"/>
      <c r="AB35" s="108"/>
      <c r="AC35" s="108"/>
      <c r="AD35" s="108"/>
      <c r="AE35" s="108"/>
      <c r="AF35" s="108"/>
      <c r="AG35" s="108"/>
      <c r="AH35" s="108"/>
      <c r="AI35" s="108"/>
      <c r="AJ35" s="108"/>
      <c r="AK35" s="108"/>
      <c r="AL35" s="108"/>
      <c r="AM35" s="108"/>
      <c r="AN35" s="108"/>
      <c r="AO35" s="108"/>
      <c r="AP35" s="108"/>
      <c r="AQ35" s="108"/>
      <c r="AR35" s="108"/>
      <c r="AS35" s="108"/>
      <c r="AT35" s="108"/>
      <c r="AU35" s="108"/>
      <c r="AV35" s="108"/>
      <c r="AW35" s="108"/>
      <c r="AX35" s="108"/>
      <c r="AY35" s="108"/>
      <c r="AZ35" s="108"/>
      <c r="BA35" s="108"/>
      <c r="BB35" s="108"/>
      <c r="BC35" s="108"/>
      <c r="BD35" s="108"/>
      <c r="BE35" s="108"/>
      <c r="BF35" s="108"/>
      <c r="BG35" s="108"/>
      <c r="BH35" s="108"/>
      <c r="BI35" s="108"/>
      <c r="BJ35" s="108"/>
      <c r="BK35" s="108"/>
      <c r="BL35" s="108"/>
      <c r="BM35" s="108"/>
    </row>
    <row r="36" spans="1:65">
      <c r="A36" s="108"/>
      <c r="B36" s="108"/>
      <c r="C36" s="108"/>
      <c r="D36" s="108"/>
      <c r="E36" s="108"/>
      <c r="F36" s="108"/>
      <c r="G36" s="108"/>
      <c r="H36" s="108"/>
      <c r="I36" s="108"/>
      <c r="J36" s="108"/>
      <c r="K36" s="108"/>
      <c r="L36" s="108"/>
      <c r="M36" s="108"/>
      <c r="N36" s="108"/>
      <c r="O36" s="109"/>
      <c r="P36" s="108"/>
      <c r="Q36" s="108"/>
      <c r="R36" s="108"/>
      <c r="S36" s="108"/>
      <c r="T36" s="108"/>
      <c r="U36" s="108"/>
      <c r="V36" s="108"/>
      <c r="W36" s="108"/>
      <c r="X36" s="108"/>
      <c r="Y36" s="108"/>
      <c r="Z36" s="108"/>
      <c r="AA36" s="108"/>
      <c r="AB36" s="108"/>
      <c r="AC36" s="108"/>
      <c r="AD36" s="108"/>
      <c r="AE36" s="108"/>
      <c r="AF36" s="108"/>
      <c r="AG36" s="108"/>
      <c r="AH36" s="108"/>
      <c r="AI36" s="108"/>
      <c r="AJ36" s="108"/>
      <c r="AK36" s="108"/>
      <c r="AL36" s="108"/>
      <c r="AM36" s="108"/>
      <c r="AN36" s="108"/>
      <c r="AO36" s="108"/>
      <c r="AP36" s="108"/>
      <c r="AQ36" s="108"/>
      <c r="AR36" s="108"/>
      <c r="AS36" s="108"/>
      <c r="AT36" s="108"/>
      <c r="AU36" s="108"/>
      <c r="AV36" s="108"/>
      <c r="AW36" s="108"/>
      <c r="AX36" s="108"/>
      <c r="AY36" s="108"/>
      <c r="AZ36" s="108"/>
      <c r="BA36" s="108"/>
      <c r="BB36" s="108"/>
      <c r="BC36" s="108"/>
      <c r="BD36" s="108"/>
      <c r="BE36" s="108"/>
      <c r="BF36" s="108"/>
      <c r="BG36" s="108"/>
      <c r="BH36" s="108"/>
      <c r="BI36" s="108"/>
      <c r="BJ36" s="108"/>
      <c r="BK36" s="108"/>
      <c r="BL36" s="108"/>
      <c r="BM36" s="108"/>
    </row>
    <row r="37" spans="1:65">
      <c r="A37" s="108"/>
      <c r="B37" s="108"/>
      <c r="C37" s="108"/>
      <c r="D37" s="108"/>
      <c r="E37" s="108"/>
      <c r="F37" s="108"/>
      <c r="G37" s="108"/>
      <c r="H37" s="108"/>
      <c r="I37" s="108"/>
      <c r="J37" s="108"/>
      <c r="K37" s="108"/>
      <c r="L37" s="108"/>
      <c r="M37" s="108"/>
      <c r="N37" s="108"/>
      <c r="O37" s="109"/>
      <c r="P37" s="108"/>
      <c r="Q37" s="108"/>
      <c r="R37" s="108"/>
      <c r="S37" s="108"/>
      <c r="T37" s="108"/>
      <c r="U37" s="108"/>
      <c r="V37" s="108"/>
      <c r="W37" s="108"/>
      <c r="X37" s="108"/>
      <c r="Y37" s="108"/>
      <c r="Z37" s="108"/>
      <c r="AA37" s="108"/>
      <c r="AB37" s="108"/>
      <c r="AC37" s="108"/>
      <c r="AD37" s="108"/>
      <c r="AE37" s="108"/>
      <c r="AF37" s="108"/>
      <c r="AG37" s="108"/>
      <c r="AH37" s="108"/>
      <c r="AI37" s="108"/>
      <c r="AJ37" s="108"/>
      <c r="AK37" s="108"/>
      <c r="AL37" s="108"/>
      <c r="AM37" s="108"/>
      <c r="AN37" s="108"/>
      <c r="AO37" s="108"/>
      <c r="AP37" s="108"/>
      <c r="AQ37" s="108"/>
      <c r="AR37" s="108"/>
      <c r="AS37" s="108"/>
      <c r="AT37" s="108"/>
      <c r="AU37" s="108"/>
      <c r="AV37" s="108"/>
      <c r="AW37" s="108"/>
      <c r="AX37" s="108"/>
      <c r="AY37" s="108"/>
      <c r="AZ37" s="108"/>
      <c r="BA37" s="108"/>
      <c r="BB37" s="108"/>
      <c r="BC37" s="108"/>
      <c r="BD37" s="108"/>
      <c r="BE37" s="108"/>
      <c r="BF37" s="108"/>
      <c r="BG37" s="108"/>
      <c r="BH37" s="108"/>
      <c r="BI37" s="108"/>
      <c r="BJ37" s="108"/>
      <c r="BK37" s="108"/>
      <c r="BL37" s="108"/>
      <c r="BM37" s="108"/>
    </row>
    <row r="38" spans="1:65">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c r="AA38" s="108"/>
      <c r="AB38" s="108"/>
      <c r="AC38" s="108"/>
      <c r="AD38" s="108"/>
      <c r="AE38" s="108"/>
      <c r="AF38" s="108"/>
      <c r="AG38" s="108"/>
      <c r="AH38" s="108"/>
      <c r="AI38" s="108"/>
      <c r="AJ38" s="108"/>
      <c r="AK38" s="108"/>
      <c r="AL38" s="108"/>
      <c r="AM38" s="108"/>
      <c r="AN38" s="108"/>
      <c r="AO38" s="108"/>
      <c r="AP38" s="108"/>
      <c r="AQ38" s="108"/>
      <c r="AR38" s="108"/>
      <c r="AS38" s="108"/>
      <c r="AT38" s="108"/>
      <c r="AU38" s="108"/>
      <c r="AV38" s="108"/>
      <c r="AW38" s="108"/>
      <c r="AX38" s="108"/>
      <c r="AY38" s="108"/>
      <c r="AZ38" s="108"/>
      <c r="BA38" s="108"/>
      <c r="BB38" s="108"/>
      <c r="BC38" s="108"/>
      <c r="BD38" s="108"/>
      <c r="BE38" s="108"/>
      <c r="BF38" s="108"/>
      <c r="BG38" s="108"/>
      <c r="BH38" s="108"/>
      <c r="BI38" s="108"/>
      <c r="BJ38" s="108"/>
      <c r="BK38" s="108"/>
      <c r="BL38" s="108"/>
      <c r="BM38" s="108"/>
    </row>
    <row r="39" spans="1:65">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c r="AA39" s="108"/>
      <c r="AB39" s="108"/>
      <c r="AC39" s="108"/>
      <c r="AD39" s="108"/>
      <c r="AE39" s="108"/>
      <c r="AF39" s="108"/>
      <c r="AG39" s="108"/>
      <c r="AH39" s="108"/>
      <c r="AI39" s="108"/>
      <c r="AJ39" s="108"/>
      <c r="AK39" s="108"/>
      <c r="AL39" s="108"/>
      <c r="AM39" s="108"/>
      <c r="AN39" s="108"/>
      <c r="AO39" s="108"/>
      <c r="AP39" s="108"/>
      <c r="AQ39" s="108"/>
      <c r="AR39" s="108"/>
      <c r="AS39" s="108"/>
      <c r="AT39" s="108"/>
      <c r="AU39" s="108"/>
      <c r="AV39" s="108"/>
      <c r="AW39" s="108"/>
      <c r="AX39" s="108"/>
      <c r="AY39" s="108"/>
      <c r="AZ39" s="108"/>
      <c r="BA39" s="108"/>
      <c r="BB39" s="108"/>
      <c r="BC39" s="108"/>
      <c r="BD39" s="108"/>
      <c r="BE39" s="108"/>
      <c r="BF39" s="108"/>
      <c r="BG39" s="108"/>
      <c r="BH39" s="108"/>
      <c r="BI39" s="108"/>
      <c r="BJ39" s="108"/>
      <c r="BK39" s="108"/>
      <c r="BL39" s="108"/>
      <c r="BM39" s="108"/>
    </row>
    <row r="40" spans="1:65">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c r="AA40" s="108"/>
      <c r="AB40" s="108"/>
      <c r="AC40" s="108"/>
      <c r="AD40" s="108"/>
      <c r="AE40" s="108"/>
      <c r="AF40" s="108"/>
      <c r="AG40" s="108"/>
      <c r="AH40" s="108"/>
      <c r="AI40" s="108"/>
      <c r="AJ40" s="108"/>
      <c r="AK40" s="108"/>
      <c r="AL40" s="108"/>
      <c r="AM40" s="108"/>
      <c r="AN40" s="108"/>
      <c r="AO40" s="108"/>
      <c r="AP40" s="108"/>
      <c r="AQ40" s="108"/>
      <c r="AR40" s="108"/>
      <c r="AS40" s="108"/>
      <c r="AT40" s="108"/>
      <c r="AU40" s="108"/>
      <c r="AV40" s="108"/>
      <c r="AW40" s="108"/>
      <c r="AX40" s="108"/>
      <c r="AY40" s="108"/>
      <c r="AZ40" s="108"/>
      <c r="BA40" s="108"/>
      <c r="BB40" s="108"/>
      <c r="BC40" s="108"/>
      <c r="BD40" s="108"/>
      <c r="BE40" s="108"/>
      <c r="BF40" s="108"/>
      <c r="BG40" s="108"/>
      <c r="BH40" s="108"/>
      <c r="BI40" s="108"/>
      <c r="BJ40" s="108"/>
      <c r="BK40" s="108"/>
      <c r="BL40" s="108"/>
      <c r="BM40" s="108"/>
    </row>
    <row r="41" spans="1:65">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c r="AA41" s="108"/>
      <c r="AB41" s="108"/>
      <c r="AC41" s="108"/>
      <c r="AD41" s="108"/>
      <c r="AE41" s="108"/>
      <c r="AF41" s="108"/>
      <c r="AG41" s="108"/>
      <c r="AH41" s="108"/>
      <c r="AI41" s="108"/>
      <c r="AJ41" s="108"/>
      <c r="AK41" s="108"/>
      <c r="AL41" s="108"/>
      <c r="AM41" s="108"/>
      <c r="AN41" s="108"/>
      <c r="AO41" s="108"/>
      <c r="AP41" s="108"/>
      <c r="AQ41" s="108"/>
      <c r="AR41" s="108"/>
      <c r="AS41" s="108"/>
      <c r="AT41" s="108"/>
      <c r="AU41" s="108"/>
      <c r="AV41" s="108"/>
      <c r="AW41" s="108"/>
      <c r="AX41" s="108"/>
      <c r="AY41" s="108"/>
      <c r="AZ41" s="108"/>
      <c r="BA41" s="108"/>
      <c r="BB41" s="108"/>
      <c r="BC41" s="108"/>
      <c r="BD41" s="108"/>
      <c r="BE41" s="108"/>
      <c r="BF41" s="108"/>
      <c r="BG41" s="108"/>
      <c r="BH41" s="108"/>
      <c r="BI41" s="108"/>
      <c r="BJ41" s="108"/>
      <c r="BK41" s="108"/>
      <c r="BL41" s="108"/>
      <c r="BM41" s="108"/>
    </row>
    <row r="42" spans="1:65">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c r="AA42" s="108"/>
      <c r="AB42" s="108"/>
      <c r="AC42" s="108"/>
      <c r="AD42" s="108"/>
      <c r="AE42" s="108"/>
      <c r="AF42" s="108"/>
      <c r="AG42" s="108"/>
      <c r="AH42" s="108"/>
      <c r="AI42" s="108"/>
      <c r="AJ42" s="108"/>
      <c r="AK42" s="108"/>
      <c r="AL42" s="108"/>
      <c r="AM42" s="108"/>
      <c r="AN42" s="108"/>
      <c r="AO42" s="108"/>
      <c r="AP42" s="108"/>
      <c r="AQ42" s="108"/>
      <c r="AR42" s="108"/>
      <c r="AS42" s="108"/>
      <c r="AT42" s="108"/>
      <c r="AU42" s="108"/>
      <c r="AV42" s="108"/>
      <c r="AW42" s="108"/>
      <c r="AX42" s="108"/>
      <c r="AY42" s="108"/>
      <c r="AZ42" s="108"/>
      <c r="BA42" s="108"/>
      <c r="BB42" s="108"/>
      <c r="BC42" s="108"/>
      <c r="BD42" s="108"/>
      <c r="BE42" s="108"/>
      <c r="BF42" s="108"/>
      <c r="BG42" s="108"/>
      <c r="BH42" s="108"/>
      <c r="BI42" s="108"/>
      <c r="BJ42" s="108"/>
      <c r="BK42" s="108"/>
      <c r="BL42" s="108"/>
      <c r="BM42" s="108"/>
    </row>
    <row r="43" spans="1:65">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c r="AA43" s="108"/>
      <c r="AB43" s="108"/>
      <c r="AC43" s="108"/>
      <c r="AD43" s="108"/>
      <c r="AE43" s="108"/>
      <c r="AF43" s="108"/>
      <c r="AG43" s="108"/>
      <c r="AH43" s="108"/>
      <c r="AI43" s="108"/>
      <c r="AJ43" s="108"/>
      <c r="AK43" s="108"/>
      <c r="AL43" s="108"/>
      <c r="AM43" s="108"/>
      <c r="AN43" s="108"/>
      <c r="AO43" s="108"/>
      <c r="AP43" s="108"/>
      <c r="AQ43" s="108"/>
      <c r="AR43" s="108"/>
      <c r="AS43" s="108"/>
      <c r="AT43" s="108"/>
      <c r="AU43" s="108"/>
      <c r="AV43" s="108"/>
      <c r="AW43" s="108"/>
      <c r="AX43" s="108"/>
      <c r="AY43" s="108"/>
      <c r="AZ43" s="108"/>
      <c r="BA43" s="108"/>
      <c r="BB43" s="108"/>
      <c r="BC43" s="108"/>
      <c r="BD43" s="108"/>
      <c r="BE43" s="108"/>
      <c r="BF43" s="108"/>
      <c r="BG43" s="108"/>
      <c r="BH43" s="108"/>
      <c r="BI43" s="108"/>
      <c r="BJ43" s="108"/>
      <c r="BK43" s="108"/>
      <c r="BL43" s="108"/>
      <c r="BM43" s="108"/>
    </row>
    <row r="44" spans="1:65">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c r="AA44" s="108"/>
      <c r="AB44" s="108"/>
      <c r="AC44" s="108"/>
      <c r="AD44" s="108"/>
      <c r="AE44" s="108"/>
      <c r="AF44" s="108"/>
      <c r="AG44" s="108"/>
      <c r="AH44" s="108"/>
      <c r="AI44" s="108"/>
      <c r="AJ44" s="108"/>
      <c r="AK44" s="108"/>
      <c r="AL44" s="108"/>
      <c r="AM44" s="108"/>
      <c r="AN44" s="108"/>
      <c r="AO44" s="108"/>
      <c r="AP44" s="108"/>
      <c r="AQ44" s="108"/>
      <c r="AR44" s="108"/>
      <c r="AS44" s="108"/>
      <c r="AT44" s="108"/>
      <c r="AU44" s="108"/>
      <c r="AV44" s="108"/>
      <c r="AW44" s="108"/>
      <c r="AX44" s="108"/>
      <c r="AY44" s="108"/>
      <c r="AZ44" s="108"/>
      <c r="BA44" s="108"/>
      <c r="BB44" s="108"/>
      <c r="BC44" s="108"/>
      <c r="BD44" s="108"/>
      <c r="BE44" s="108"/>
      <c r="BF44" s="108"/>
      <c r="BG44" s="108"/>
      <c r="BH44" s="108"/>
      <c r="BI44" s="108"/>
      <c r="BJ44" s="108"/>
      <c r="BK44" s="108"/>
      <c r="BL44" s="108"/>
      <c r="BM44" s="108"/>
    </row>
    <row r="45" spans="1:65">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c r="AA45" s="108"/>
      <c r="AB45" s="108"/>
      <c r="AC45" s="108"/>
      <c r="AD45" s="108"/>
      <c r="AE45" s="108"/>
      <c r="AF45" s="108"/>
      <c r="AG45" s="108"/>
      <c r="AH45" s="108"/>
      <c r="AI45" s="108"/>
      <c r="AJ45" s="108"/>
      <c r="AK45" s="108"/>
      <c r="AL45" s="108"/>
      <c r="AM45" s="108"/>
      <c r="AN45" s="108"/>
      <c r="AO45" s="108"/>
      <c r="AP45" s="108"/>
      <c r="AQ45" s="108"/>
      <c r="AR45" s="108"/>
      <c r="AS45" s="108"/>
      <c r="AT45" s="108"/>
      <c r="AU45" s="108"/>
      <c r="AV45" s="108"/>
      <c r="AW45" s="108"/>
      <c r="AX45" s="108"/>
      <c r="AY45" s="108"/>
      <c r="AZ45" s="108"/>
      <c r="BA45" s="108"/>
      <c r="BB45" s="108"/>
      <c r="BC45" s="108"/>
      <c r="BD45" s="108"/>
      <c r="BE45" s="108"/>
      <c r="BF45" s="108"/>
      <c r="BG45" s="108"/>
      <c r="BH45" s="108"/>
      <c r="BI45" s="108"/>
      <c r="BJ45" s="108"/>
      <c r="BK45" s="108"/>
      <c r="BL45" s="108"/>
      <c r="BM45" s="108"/>
    </row>
    <row r="46" spans="1:65">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c r="AA46" s="108"/>
      <c r="AB46" s="108"/>
      <c r="AC46" s="108"/>
      <c r="AD46" s="108"/>
      <c r="AE46" s="108"/>
      <c r="AF46" s="108"/>
      <c r="AG46" s="108"/>
      <c r="AH46" s="108"/>
      <c r="AI46" s="108"/>
      <c r="AJ46" s="108"/>
      <c r="AK46" s="108"/>
      <c r="AL46" s="108"/>
      <c r="AM46" s="108"/>
      <c r="AN46" s="108"/>
      <c r="AO46" s="108"/>
      <c r="AP46" s="108"/>
      <c r="AQ46" s="108"/>
      <c r="AR46" s="108"/>
      <c r="AS46" s="108"/>
      <c r="AT46" s="108"/>
      <c r="AU46" s="108"/>
      <c r="AV46" s="108"/>
      <c r="AW46" s="108"/>
      <c r="AX46" s="108"/>
      <c r="AY46" s="108"/>
      <c r="AZ46" s="108"/>
      <c r="BA46" s="108"/>
      <c r="BB46" s="108"/>
      <c r="BC46" s="108"/>
      <c r="BD46" s="108"/>
      <c r="BE46" s="108"/>
      <c r="BF46" s="108"/>
      <c r="BG46" s="108"/>
      <c r="BH46" s="108"/>
      <c r="BI46" s="108"/>
      <c r="BJ46" s="108"/>
      <c r="BK46" s="108"/>
      <c r="BL46" s="108"/>
      <c r="BM46" s="108"/>
    </row>
    <row r="47" spans="1:65">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c r="AA47" s="108"/>
      <c r="AB47" s="108"/>
      <c r="AC47" s="108"/>
      <c r="AD47" s="108"/>
      <c r="AE47" s="108"/>
      <c r="AF47" s="108"/>
      <c r="AG47" s="108"/>
      <c r="AH47" s="108"/>
      <c r="AI47" s="108"/>
      <c r="AJ47" s="108"/>
      <c r="AK47" s="108"/>
      <c r="AL47" s="108"/>
      <c r="AM47" s="108"/>
      <c r="AN47" s="108"/>
      <c r="AO47" s="108"/>
      <c r="AP47" s="108"/>
      <c r="AQ47" s="108"/>
      <c r="AR47" s="108"/>
      <c r="AS47" s="108"/>
      <c r="AT47" s="108"/>
      <c r="AU47" s="108"/>
      <c r="AV47" s="108"/>
      <c r="AW47" s="108"/>
      <c r="AX47" s="108"/>
      <c r="AY47" s="108"/>
      <c r="AZ47" s="108"/>
      <c r="BA47" s="108"/>
      <c r="BB47" s="108"/>
      <c r="BC47" s="108"/>
      <c r="BD47" s="108"/>
      <c r="BE47" s="108"/>
      <c r="BF47" s="108"/>
      <c r="BG47" s="108"/>
      <c r="BH47" s="108"/>
      <c r="BI47" s="108"/>
      <c r="BJ47" s="108"/>
      <c r="BK47" s="108"/>
      <c r="BL47" s="108"/>
      <c r="BM47" s="108"/>
    </row>
    <row r="48" spans="1:65">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c r="AA48" s="108"/>
      <c r="AB48" s="108"/>
      <c r="AC48" s="108"/>
      <c r="AD48" s="108"/>
      <c r="AE48" s="108"/>
      <c r="AF48" s="108"/>
      <c r="AG48" s="108"/>
      <c r="AH48" s="108"/>
      <c r="AI48" s="108"/>
      <c r="AJ48" s="108"/>
      <c r="AK48" s="108"/>
      <c r="AL48" s="108"/>
      <c r="AM48" s="108"/>
      <c r="AN48" s="108"/>
      <c r="AO48" s="108"/>
      <c r="AP48" s="108"/>
      <c r="AQ48" s="108"/>
      <c r="AR48" s="108"/>
      <c r="AS48" s="108"/>
      <c r="AT48" s="108"/>
      <c r="AU48" s="108"/>
      <c r="AV48" s="108"/>
      <c r="AW48" s="108"/>
      <c r="AX48" s="108"/>
      <c r="AY48" s="108"/>
      <c r="AZ48" s="108"/>
      <c r="BA48" s="108"/>
      <c r="BB48" s="108"/>
      <c r="BC48" s="108"/>
      <c r="BD48" s="108"/>
      <c r="BE48" s="108"/>
      <c r="BF48" s="108"/>
      <c r="BG48" s="108"/>
      <c r="BH48" s="108"/>
      <c r="BI48" s="108"/>
      <c r="BJ48" s="108"/>
      <c r="BK48" s="108"/>
      <c r="BL48" s="108"/>
      <c r="BM48" s="108"/>
    </row>
    <row r="49" spans="1:65">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c r="AA49" s="108"/>
      <c r="AB49" s="108"/>
      <c r="AC49" s="108"/>
      <c r="AD49" s="108"/>
      <c r="AE49" s="108"/>
      <c r="AF49" s="108"/>
      <c r="AG49" s="108"/>
      <c r="AH49" s="108"/>
      <c r="AI49" s="108"/>
      <c r="AJ49" s="108"/>
      <c r="AK49" s="108"/>
      <c r="AL49" s="108"/>
      <c r="AM49" s="108"/>
      <c r="AN49" s="108"/>
      <c r="AO49" s="108"/>
      <c r="AP49" s="108"/>
      <c r="AQ49" s="108"/>
      <c r="AR49" s="108"/>
      <c r="AS49" s="108"/>
      <c r="AT49" s="108"/>
      <c r="AU49" s="108"/>
      <c r="AV49" s="108"/>
      <c r="AW49" s="108"/>
      <c r="AX49" s="108"/>
      <c r="AY49" s="108"/>
      <c r="AZ49" s="108"/>
      <c r="BA49" s="108"/>
      <c r="BB49" s="108"/>
      <c r="BC49" s="108"/>
      <c r="BD49" s="108"/>
      <c r="BE49" s="108"/>
      <c r="BF49" s="108"/>
      <c r="BG49" s="108"/>
      <c r="BH49" s="108"/>
      <c r="BI49" s="108"/>
      <c r="BJ49" s="108"/>
      <c r="BK49" s="108"/>
      <c r="BL49" s="108"/>
      <c r="BM49" s="108"/>
    </row>
    <row r="50" spans="1:65">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c r="AA50" s="108"/>
      <c r="AB50" s="108"/>
      <c r="AC50" s="108"/>
      <c r="AD50" s="108"/>
      <c r="AE50" s="108"/>
      <c r="AF50" s="108"/>
      <c r="AG50" s="108"/>
      <c r="AH50" s="108"/>
      <c r="AI50" s="108"/>
      <c r="AJ50" s="108"/>
      <c r="AK50" s="108"/>
      <c r="AL50" s="108"/>
      <c r="AM50" s="108"/>
      <c r="AN50" s="108"/>
      <c r="AO50" s="108"/>
      <c r="AP50" s="108"/>
      <c r="AQ50" s="108"/>
      <c r="AR50" s="108"/>
      <c r="AS50" s="108"/>
      <c r="AT50" s="108"/>
      <c r="AU50" s="108"/>
      <c r="AV50" s="108"/>
      <c r="AW50" s="108"/>
      <c r="AX50" s="108"/>
      <c r="AY50" s="108"/>
      <c r="AZ50" s="108"/>
      <c r="BA50" s="108"/>
      <c r="BB50" s="108"/>
      <c r="BC50" s="108"/>
      <c r="BD50" s="108"/>
      <c r="BE50" s="108"/>
      <c r="BF50" s="108"/>
      <c r="BG50" s="108"/>
      <c r="BH50" s="108"/>
      <c r="BI50" s="108"/>
      <c r="BJ50" s="108"/>
      <c r="BK50" s="108"/>
      <c r="BL50" s="108"/>
      <c r="BM50" s="108"/>
    </row>
    <row r="51" spans="1:65">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c r="AA51" s="108"/>
      <c r="AB51" s="108"/>
      <c r="AC51" s="108"/>
      <c r="AD51" s="108"/>
      <c r="AE51" s="108"/>
      <c r="AF51" s="108"/>
      <c r="AG51" s="108"/>
      <c r="AH51" s="108"/>
      <c r="AI51" s="108"/>
      <c r="AJ51" s="108"/>
      <c r="AK51" s="108"/>
      <c r="AL51" s="108"/>
      <c r="AM51" s="108"/>
      <c r="AN51" s="108"/>
      <c r="AO51" s="108"/>
      <c r="AP51" s="108"/>
      <c r="AQ51" s="108"/>
      <c r="AR51" s="108"/>
      <c r="AS51" s="108"/>
      <c r="AT51" s="108"/>
      <c r="AU51" s="108"/>
      <c r="AV51" s="108"/>
      <c r="AW51" s="108"/>
      <c r="AX51" s="108"/>
      <c r="AY51" s="108"/>
      <c r="AZ51" s="108"/>
      <c r="BA51" s="108"/>
      <c r="BB51" s="108"/>
      <c r="BC51" s="108"/>
      <c r="BD51" s="108"/>
      <c r="BE51" s="108"/>
      <c r="BF51" s="108"/>
      <c r="BG51" s="108"/>
      <c r="BH51" s="108"/>
      <c r="BI51" s="108"/>
      <c r="BJ51" s="108"/>
      <c r="BK51" s="108"/>
      <c r="BL51" s="108"/>
      <c r="BM51" s="108"/>
    </row>
    <row r="52" spans="1:65">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c r="AA52" s="108"/>
      <c r="AB52" s="108"/>
      <c r="AC52" s="108"/>
      <c r="AD52" s="108"/>
      <c r="AE52" s="108"/>
      <c r="AF52" s="108"/>
      <c r="AG52" s="108"/>
      <c r="AH52" s="108"/>
      <c r="AI52" s="108"/>
      <c r="AJ52" s="108"/>
      <c r="AK52" s="108"/>
      <c r="AL52" s="108"/>
      <c r="AM52" s="108"/>
      <c r="AN52" s="108"/>
      <c r="AO52" s="108"/>
      <c r="AP52" s="108"/>
      <c r="AQ52" s="108"/>
      <c r="AR52" s="108"/>
      <c r="AS52" s="108"/>
      <c r="AT52" s="108"/>
      <c r="AU52" s="108"/>
      <c r="AV52" s="108"/>
      <c r="AW52" s="108"/>
      <c r="AX52" s="108"/>
      <c r="AY52" s="108"/>
      <c r="AZ52" s="108"/>
      <c r="BA52" s="108"/>
      <c r="BB52" s="108"/>
      <c r="BC52" s="108"/>
      <c r="BD52" s="108"/>
      <c r="BE52" s="108"/>
      <c r="BF52" s="108"/>
      <c r="BG52" s="108"/>
      <c r="BH52" s="108"/>
      <c r="BI52" s="108"/>
      <c r="BJ52" s="108"/>
      <c r="BK52" s="108"/>
      <c r="BL52" s="108"/>
      <c r="BM52" s="108"/>
    </row>
    <row r="53" spans="1:65">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c r="AA53" s="108"/>
      <c r="AB53" s="108"/>
      <c r="AC53" s="108"/>
      <c r="AD53" s="108"/>
      <c r="AE53" s="108"/>
      <c r="AF53" s="108"/>
      <c r="AG53" s="108"/>
      <c r="AH53" s="108"/>
      <c r="AI53" s="108"/>
      <c r="AJ53" s="108"/>
      <c r="AK53" s="108"/>
      <c r="AL53" s="108"/>
      <c r="AM53" s="108"/>
      <c r="AN53" s="108"/>
      <c r="AO53" s="108"/>
      <c r="AP53" s="108"/>
      <c r="AQ53" s="108"/>
      <c r="AR53" s="108"/>
      <c r="AS53" s="108"/>
      <c r="AT53" s="108"/>
      <c r="AU53" s="108"/>
      <c r="AV53" s="108"/>
      <c r="AW53" s="108"/>
      <c r="AX53" s="108"/>
      <c r="AY53" s="108"/>
      <c r="AZ53" s="108"/>
      <c r="BA53" s="108"/>
      <c r="BB53" s="108"/>
      <c r="BC53" s="108"/>
      <c r="BD53" s="108"/>
      <c r="BE53" s="108"/>
      <c r="BF53" s="108"/>
      <c r="BG53" s="108"/>
      <c r="BH53" s="108"/>
      <c r="BI53" s="108"/>
      <c r="BJ53" s="108"/>
      <c r="BK53" s="108"/>
      <c r="BL53" s="108"/>
      <c r="BM53" s="108"/>
    </row>
    <row r="54" spans="1:65">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c r="AA54" s="108"/>
      <c r="AB54" s="108"/>
      <c r="AC54" s="108"/>
      <c r="AD54" s="108"/>
      <c r="AE54" s="108"/>
      <c r="AF54" s="108"/>
      <c r="AG54" s="108"/>
      <c r="AH54" s="108"/>
      <c r="AI54" s="108"/>
      <c r="AJ54" s="108"/>
      <c r="AK54" s="108"/>
      <c r="AL54" s="108"/>
      <c r="AM54" s="108"/>
      <c r="AN54" s="108"/>
      <c r="AO54" s="108"/>
      <c r="AP54" s="108"/>
      <c r="AQ54" s="108"/>
      <c r="AR54" s="108"/>
      <c r="AS54" s="108"/>
      <c r="AT54" s="108"/>
      <c r="AU54" s="108"/>
      <c r="AV54" s="108"/>
      <c r="AW54" s="108"/>
      <c r="AX54" s="108"/>
      <c r="AY54" s="108"/>
      <c r="AZ54" s="108"/>
      <c r="BA54" s="108"/>
      <c r="BB54" s="108"/>
      <c r="BC54" s="108"/>
      <c r="BD54" s="108"/>
      <c r="BE54" s="108"/>
      <c r="BF54" s="108"/>
      <c r="BG54" s="108"/>
      <c r="BH54" s="108"/>
      <c r="BI54" s="108"/>
      <c r="BJ54" s="108"/>
      <c r="BK54" s="108"/>
      <c r="BL54" s="108"/>
      <c r="BM54" s="108"/>
    </row>
    <row r="55" spans="1:65">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c r="AA55" s="108"/>
      <c r="AB55" s="108"/>
      <c r="AC55" s="108"/>
      <c r="AD55" s="108"/>
      <c r="AE55" s="108"/>
      <c r="AF55" s="108"/>
      <c r="AG55" s="108"/>
      <c r="AH55" s="108"/>
      <c r="AI55" s="108"/>
      <c r="AJ55" s="108"/>
      <c r="AK55" s="108"/>
      <c r="AL55" s="108"/>
      <c r="AM55" s="108"/>
      <c r="AN55" s="108"/>
      <c r="AO55" s="108"/>
      <c r="AP55" s="108"/>
      <c r="AQ55" s="108"/>
      <c r="AR55" s="108"/>
      <c r="AS55" s="108"/>
      <c r="AT55" s="108"/>
      <c r="AU55" s="108"/>
      <c r="AV55" s="108"/>
      <c r="AW55" s="108"/>
      <c r="AX55" s="108"/>
      <c r="AY55" s="108"/>
      <c r="AZ55" s="108"/>
      <c r="BA55" s="108"/>
      <c r="BB55" s="108"/>
      <c r="BC55" s="108"/>
      <c r="BD55" s="108"/>
      <c r="BE55" s="108"/>
      <c r="BF55" s="108"/>
      <c r="BG55" s="108"/>
      <c r="BH55" s="108"/>
      <c r="BI55" s="108"/>
      <c r="BJ55" s="108"/>
      <c r="BK55" s="108"/>
      <c r="BL55" s="108"/>
      <c r="BM55" s="108"/>
    </row>
    <row r="56" spans="1:6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c r="AP56" s="108"/>
      <c r="AQ56" s="108"/>
      <c r="AR56" s="108"/>
      <c r="AS56" s="108"/>
      <c r="AT56" s="108"/>
      <c r="AU56" s="108"/>
      <c r="AV56" s="108"/>
      <c r="AW56" s="108"/>
      <c r="AX56" s="108"/>
      <c r="AY56" s="108"/>
      <c r="AZ56" s="108"/>
      <c r="BA56" s="108"/>
      <c r="BB56" s="108"/>
      <c r="BC56" s="108"/>
      <c r="BD56" s="108"/>
      <c r="BE56" s="108"/>
      <c r="BF56" s="108"/>
      <c r="BG56" s="108"/>
      <c r="BH56" s="108"/>
      <c r="BI56" s="108"/>
      <c r="BJ56" s="108"/>
      <c r="BK56" s="108"/>
      <c r="BL56" s="108"/>
      <c r="BM56" s="108"/>
    </row>
    <row r="57" spans="1:65">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c r="AA57" s="108"/>
      <c r="AB57" s="108"/>
      <c r="AC57" s="108"/>
      <c r="AD57" s="108"/>
      <c r="AE57" s="108"/>
      <c r="AF57" s="108"/>
      <c r="AG57" s="108"/>
      <c r="AH57" s="108"/>
      <c r="AI57" s="108"/>
      <c r="AJ57" s="108"/>
      <c r="AK57" s="108"/>
      <c r="AL57" s="108"/>
      <c r="AM57" s="108"/>
      <c r="AN57" s="108"/>
      <c r="AO57" s="108"/>
      <c r="AP57" s="108"/>
      <c r="AQ57" s="108"/>
      <c r="AR57" s="108"/>
      <c r="AS57" s="108"/>
      <c r="AT57" s="108"/>
      <c r="AU57" s="108"/>
      <c r="AV57" s="108"/>
      <c r="AW57" s="108"/>
      <c r="AX57" s="108"/>
      <c r="AY57" s="108"/>
      <c r="AZ57" s="108"/>
      <c r="BA57" s="108"/>
      <c r="BB57" s="108"/>
      <c r="BC57" s="108"/>
      <c r="BD57" s="108"/>
      <c r="BE57" s="108"/>
      <c r="BF57" s="108"/>
      <c r="BG57" s="108"/>
      <c r="BH57" s="108"/>
      <c r="BI57" s="108"/>
      <c r="BJ57" s="108"/>
      <c r="BK57" s="108"/>
      <c r="BL57" s="108"/>
      <c r="BM57" s="108"/>
    </row>
    <row r="58" spans="1:65">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c r="AA58" s="108"/>
      <c r="AB58" s="108"/>
      <c r="AC58" s="108"/>
      <c r="AD58" s="108"/>
      <c r="AE58" s="108"/>
      <c r="AF58" s="108"/>
      <c r="AG58" s="108"/>
      <c r="AH58" s="108"/>
      <c r="AI58" s="108"/>
      <c r="AJ58" s="108"/>
      <c r="AK58" s="108"/>
      <c r="AL58" s="108"/>
      <c r="AM58" s="108"/>
      <c r="AN58" s="108"/>
      <c r="AO58" s="108"/>
      <c r="AP58" s="108"/>
      <c r="AQ58" s="108"/>
      <c r="AR58" s="108"/>
      <c r="AS58" s="108"/>
      <c r="AT58" s="108"/>
      <c r="AU58" s="108"/>
      <c r="AV58" s="108"/>
      <c r="AW58" s="108"/>
      <c r="AX58" s="108"/>
      <c r="AY58" s="108"/>
      <c r="AZ58" s="108"/>
      <c r="BA58" s="108"/>
      <c r="BB58" s="108"/>
      <c r="BC58" s="108"/>
      <c r="BD58" s="108"/>
      <c r="BE58" s="108"/>
      <c r="BF58" s="108"/>
      <c r="BG58" s="108"/>
      <c r="BH58" s="108"/>
      <c r="BI58" s="108"/>
      <c r="BJ58" s="108"/>
      <c r="BK58" s="108"/>
      <c r="BL58" s="108"/>
      <c r="BM58" s="108"/>
    </row>
    <row r="59" spans="1:65">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c r="AA59" s="108"/>
      <c r="AB59" s="108"/>
      <c r="AC59" s="108"/>
      <c r="AD59" s="108"/>
      <c r="AE59" s="108"/>
      <c r="AF59" s="108"/>
      <c r="AG59" s="108"/>
      <c r="AH59" s="108"/>
      <c r="AI59" s="108"/>
      <c r="AJ59" s="108"/>
      <c r="AK59" s="108"/>
      <c r="AL59" s="108"/>
      <c r="AM59" s="108"/>
      <c r="AN59" s="108"/>
      <c r="AO59" s="108"/>
      <c r="AP59" s="108"/>
      <c r="AQ59" s="108"/>
      <c r="AR59" s="108"/>
      <c r="AS59" s="108"/>
      <c r="AT59" s="108"/>
      <c r="AU59" s="108"/>
      <c r="AV59" s="108"/>
      <c r="AW59" s="108"/>
      <c r="AX59" s="108"/>
      <c r="AY59" s="108"/>
      <c r="AZ59" s="108"/>
      <c r="BA59" s="108"/>
      <c r="BB59" s="108"/>
      <c r="BC59" s="108"/>
      <c r="BD59" s="108"/>
      <c r="BE59" s="108"/>
      <c r="BF59" s="108"/>
      <c r="BG59" s="108"/>
      <c r="BH59" s="108"/>
      <c r="BI59" s="108"/>
      <c r="BJ59" s="108"/>
      <c r="BK59" s="108"/>
      <c r="BL59" s="108"/>
      <c r="BM59" s="108"/>
    </row>
    <row r="60" spans="1:65">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c r="AA60" s="108"/>
      <c r="AB60" s="108"/>
      <c r="AC60" s="108"/>
      <c r="AD60" s="108"/>
      <c r="AE60" s="108"/>
      <c r="AF60" s="108"/>
      <c r="AG60" s="108"/>
      <c r="AH60" s="108"/>
      <c r="AI60" s="108"/>
      <c r="AJ60" s="108"/>
      <c r="AK60" s="108"/>
      <c r="AL60" s="108"/>
      <c r="AM60" s="108"/>
      <c r="AN60" s="108"/>
      <c r="AO60" s="108"/>
      <c r="AP60" s="108"/>
      <c r="AQ60" s="108"/>
      <c r="AR60" s="108"/>
      <c r="AS60" s="108"/>
      <c r="AT60" s="108"/>
      <c r="AU60" s="108"/>
      <c r="AV60" s="108"/>
      <c r="AW60" s="108"/>
      <c r="AX60" s="108"/>
      <c r="AY60" s="108"/>
      <c r="AZ60" s="108"/>
      <c r="BA60" s="108"/>
      <c r="BB60" s="108"/>
      <c r="BC60" s="108"/>
      <c r="BD60" s="108"/>
      <c r="BE60" s="108"/>
      <c r="BF60" s="108"/>
      <c r="BG60" s="108"/>
      <c r="BH60" s="108"/>
      <c r="BI60" s="108"/>
      <c r="BJ60" s="108"/>
      <c r="BK60" s="108"/>
      <c r="BL60" s="108"/>
      <c r="BM60" s="108"/>
    </row>
    <row r="61" spans="1:65">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c r="AA61" s="108"/>
      <c r="AB61" s="108"/>
      <c r="AC61" s="108"/>
      <c r="AD61" s="108"/>
      <c r="AE61" s="108"/>
      <c r="AF61" s="108"/>
      <c r="AG61" s="108"/>
      <c r="AH61" s="108"/>
      <c r="AI61" s="108"/>
      <c r="AJ61" s="108"/>
      <c r="AK61" s="108"/>
      <c r="AL61" s="108"/>
      <c r="AM61" s="108"/>
      <c r="AN61" s="108"/>
      <c r="AO61" s="108"/>
      <c r="AP61" s="108"/>
      <c r="AQ61" s="108"/>
      <c r="AR61" s="108"/>
      <c r="AS61" s="108"/>
      <c r="AT61" s="108"/>
      <c r="AU61" s="108"/>
      <c r="AV61" s="108"/>
      <c r="AW61" s="108"/>
      <c r="AX61" s="108"/>
      <c r="AY61" s="108"/>
      <c r="AZ61" s="108"/>
      <c r="BA61" s="108"/>
      <c r="BB61" s="108"/>
      <c r="BC61" s="108"/>
      <c r="BD61" s="108"/>
      <c r="BE61" s="108"/>
      <c r="BF61" s="108"/>
      <c r="BG61" s="108"/>
      <c r="BH61" s="108"/>
      <c r="BI61" s="108"/>
      <c r="BJ61" s="108"/>
      <c r="BK61" s="108"/>
      <c r="BL61" s="108"/>
      <c r="BM61" s="108"/>
    </row>
    <row r="62" spans="1:65">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c r="AA62" s="108"/>
      <c r="AB62" s="108"/>
      <c r="AC62" s="108"/>
      <c r="AD62" s="108"/>
      <c r="AE62" s="108"/>
      <c r="AF62" s="108"/>
      <c r="AG62" s="108"/>
      <c r="AH62" s="108"/>
      <c r="AI62" s="108"/>
      <c r="AJ62" s="108"/>
      <c r="AK62" s="108"/>
      <c r="AL62" s="108"/>
      <c r="AM62" s="108"/>
      <c r="AN62" s="108"/>
      <c r="AO62" s="108"/>
      <c r="AP62" s="108"/>
      <c r="AQ62" s="108"/>
      <c r="AR62" s="108"/>
      <c r="AS62" s="108"/>
      <c r="AT62" s="108"/>
      <c r="AU62" s="108"/>
      <c r="AV62" s="108"/>
      <c r="AW62" s="108"/>
      <c r="AX62" s="108"/>
      <c r="AY62" s="108"/>
      <c r="AZ62" s="108"/>
      <c r="BA62" s="108"/>
      <c r="BB62" s="108"/>
      <c r="BC62" s="108"/>
      <c r="BD62" s="108"/>
      <c r="BE62" s="108"/>
      <c r="BF62" s="108"/>
      <c r="BG62" s="108"/>
      <c r="BH62" s="108"/>
      <c r="BI62" s="108"/>
      <c r="BJ62" s="108"/>
      <c r="BK62" s="108"/>
      <c r="BL62" s="108"/>
      <c r="BM62" s="108"/>
    </row>
    <row r="63" spans="1:65">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c r="AA63" s="108"/>
      <c r="AB63" s="108"/>
      <c r="AC63" s="108"/>
      <c r="AD63" s="108"/>
      <c r="AE63" s="108"/>
      <c r="AF63" s="108"/>
      <c r="AG63" s="108"/>
      <c r="AH63" s="108"/>
      <c r="AI63" s="108"/>
      <c r="AJ63" s="108"/>
      <c r="AK63" s="108"/>
      <c r="AL63" s="108"/>
      <c r="AM63" s="108"/>
      <c r="AN63" s="108"/>
      <c r="AO63" s="108"/>
      <c r="AP63" s="108"/>
      <c r="AQ63" s="108"/>
      <c r="AR63" s="108"/>
      <c r="AS63" s="108"/>
      <c r="AT63" s="108"/>
      <c r="AU63" s="108"/>
      <c r="AV63" s="108"/>
      <c r="AW63" s="108"/>
      <c r="AX63" s="108"/>
      <c r="AY63" s="108"/>
      <c r="AZ63" s="108"/>
      <c r="BA63" s="108"/>
      <c r="BB63" s="108"/>
      <c r="BC63" s="108"/>
      <c r="BD63" s="108"/>
      <c r="BE63" s="108"/>
      <c r="BF63" s="108"/>
      <c r="BG63" s="108"/>
      <c r="BH63" s="108"/>
      <c r="BI63" s="108"/>
      <c r="BJ63" s="108"/>
      <c r="BK63" s="108"/>
      <c r="BL63" s="108"/>
      <c r="BM63" s="108"/>
    </row>
    <row r="64" spans="1:65">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c r="AA64" s="108"/>
      <c r="AB64" s="108"/>
      <c r="AC64" s="108"/>
      <c r="AD64" s="108"/>
      <c r="AE64" s="108"/>
      <c r="AF64" s="108"/>
      <c r="AG64" s="108"/>
      <c r="AH64" s="108"/>
      <c r="AI64" s="108"/>
      <c r="AJ64" s="108"/>
      <c r="AK64" s="108"/>
      <c r="AL64" s="108"/>
      <c r="AM64" s="108"/>
      <c r="AN64" s="108"/>
      <c r="AO64" s="108"/>
      <c r="AP64" s="108"/>
      <c r="AQ64" s="108"/>
      <c r="AR64" s="108"/>
      <c r="AS64" s="108"/>
      <c r="AT64" s="108"/>
      <c r="AU64" s="108"/>
      <c r="AV64" s="108"/>
      <c r="AW64" s="108"/>
      <c r="AX64" s="108"/>
      <c r="AY64" s="108"/>
      <c r="AZ64" s="108"/>
      <c r="BA64" s="108"/>
      <c r="BB64" s="108"/>
      <c r="BC64" s="108"/>
      <c r="BD64" s="108"/>
      <c r="BE64" s="108"/>
      <c r="BF64" s="108"/>
      <c r="BG64" s="108"/>
      <c r="BH64" s="108"/>
      <c r="BI64" s="108"/>
      <c r="BJ64" s="108"/>
      <c r="BK64" s="108"/>
      <c r="BL64" s="108"/>
      <c r="BM64" s="108"/>
    </row>
    <row r="65" spans="1:65">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c r="AA65" s="108"/>
      <c r="AB65" s="108"/>
      <c r="AC65" s="108"/>
      <c r="AD65" s="108"/>
      <c r="AE65" s="108"/>
      <c r="AF65" s="108"/>
      <c r="AG65" s="108"/>
      <c r="AH65" s="108"/>
      <c r="AI65" s="108"/>
      <c r="AJ65" s="108"/>
      <c r="AK65" s="108"/>
      <c r="AL65" s="108"/>
      <c r="AM65" s="108"/>
      <c r="AN65" s="108"/>
      <c r="AO65" s="108"/>
      <c r="AP65" s="108"/>
      <c r="AQ65" s="108"/>
      <c r="AR65" s="108"/>
      <c r="AS65" s="108"/>
      <c r="AT65" s="108"/>
      <c r="AU65" s="108"/>
      <c r="AV65" s="108"/>
      <c r="AW65" s="108"/>
      <c r="AX65" s="108"/>
      <c r="AY65" s="108"/>
      <c r="AZ65" s="108"/>
      <c r="BA65" s="108"/>
      <c r="BB65" s="108"/>
      <c r="BC65" s="108"/>
      <c r="BD65" s="108"/>
      <c r="BE65" s="108"/>
      <c r="BF65" s="108"/>
      <c r="BG65" s="108"/>
      <c r="BH65" s="108"/>
      <c r="BI65" s="108"/>
      <c r="BJ65" s="108"/>
      <c r="BK65" s="108"/>
      <c r="BL65" s="108"/>
      <c r="BM65" s="108"/>
    </row>
    <row r="66" spans="1:65">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c r="AA66" s="108"/>
      <c r="AB66" s="108"/>
      <c r="AC66" s="108"/>
      <c r="AD66" s="108"/>
      <c r="AE66" s="108"/>
      <c r="AF66" s="108"/>
      <c r="AG66" s="108"/>
      <c r="AH66" s="108"/>
      <c r="AI66" s="108"/>
      <c r="AJ66" s="108"/>
      <c r="AK66" s="108"/>
      <c r="AL66" s="108"/>
      <c r="AM66" s="108"/>
      <c r="AN66" s="108"/>
      <c r="AO66" s="108"/>
      <c r="AP66" s="108"/>
      <c r="AQ66" s="108"/>
      <c r="AR66" s="108"/>
      <c r="AS66" s="108"/>
      <c r="AT66" s="108"/>
      <c r="AU66" s="108"/>
      <c r="AV66" s="108"/>
      <c r="AW66" s="108"/>
      <c r="AX66" s="108"/>
      <c r="AY66" s="108"/>
      <c r="AZ66" s="108"/>
      <c r="BA66" s="108"/>
      <c r="BB66" s="108"/>
      <c r="BC66" s="108"/>
      <c r="BD66" s="108"/>
      <c r="BE66" s="108"/>
      <c r="BF66" s="108"/>
      <c r="BG66" s="108"/>
      <c r="BH66" s="108"/>
      <c r="BI66" s="108"/>
      <c r="BJ66" s="108"/>
      <c r="BK66" s="108"/>
      <c r="BL66" s="108"/>
      <c r="BM66" s="108"/>
    </row>
    <row r="67" spans="1:65">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c r="AA67" s="108"/>
      <c r="AB67" s="108"/>
      <c r="AC67" s="108"/>
      <c r="AD67" s="108"/>
      <c r="AE67" s="108"/>
      <c r="AF67" s="108"/>
      <c r="AG67" s="108"/>
      <c r="AH67" s="108"/>
      <c r="AI67" s="108"/>
      <c r="AJ67" s="108"/>
      <c r="AK67" s="108"/>
      <c r="AL67" s="108"/>
      <c r="AM67" s="108"/>
      <c r="AN67" s="108"/>
      <c r="AO67" s="108"/>
      <c r="AP67" s="108"/>
      <c r="AQ67" s="108"/>
      <c r="AR67" s="108"/>
      <c r="AS67" s="108"/>
      <c r="AT67" s="108"/>
      <c r="AU67" s="108"/>
      <c r="AV67" s="108"/>
      <c r="AW67" s="108"/>
      <c r="AX67" s="108"/>
      <c r="AY67" s="108"/>
      <c r="AZ67" s="108"/>
      <c r="BA67" s="108"/>
      <c r="BB67" s="108"/>
      <c r="BC67" s="108"/>
      <c r="BD67" s="108"/>
      <c r="BE67" s="108"/>
      <c r="BF67" s="108"/>
      <c r="BG67" s="108"/>
      <c r="BH67" s="108"/>
      <c r="BI67" s="108"/>
      <c r="BJ67" s="108"/>
      <c r="BK67" s="108"/>
      <c r="BL67" s="108"/>
      <c r="BM67" s="108"/>
    </row>
    <row r="68" spans="1:65">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c r="AA68" s="108"/>
      <c r="AB68" s="108"/>
      <c r="AC68" s="108"/>
      <c r="AD68" s="108"/>
      <c r="AE68" s="108"/>
      <c r="AF68" s="108"/>
      <c r="AG68" s="108"/>
      <c r="AH68" s="108"/>
      <c r="AI68" s="108"/>
      <c r="AJ68" s="108"/>
      <c r="AK68" s="108"/>
      <c r="AL68" s="108"/>
      <c r="AM68" s="108"/>
      <c r="AN68" s="108"/>
      <c r="AO68" s="108"/>
      <c r="AP68" s="108"/>
      <c r="AQ68" s="108"/>
      <c r="AR68" s="108"/>
      <c r="AS68" s="108"/>
      <c r="AT68" s="108"/>
      <c r="AU68" s="108"/>
      <c r="AV68" s="108"/>
      <c r="AW68" s="108"/>
      <c r="AX68" s="108"/>
      <c r="AY68" s="108"/>
      <c r="AZ68" s="108"/>
      <c r="BA68" s="108"/>
      <c r="BB68" s="108"/>
      <c r="BC68" s="108"/>
      <c r="BD68" s="108"/>
      <c r="BE68" s="108"/>
      <c r="BF68" s="108"/>
      <c r="BG68" s="108"/>
      <c r="BH68" s="108"/>
      <c r="BI68" s="108"/>
      <c r="BJ68" s="108"/>
      <c r="BK68" s="108"/>
      <c r="BL68" s="108"/>
      <c r="BM68" s="108"/>
    </row>
    <row r="69" spans="1:65">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c r="AA69" s="108"/>
      <c r="AB69" s="108"/>
      <c r="AC69" s="108"/>
      <c r="AD69" s="108"/>
      <c r="AE69" s="108"/>
      <c r="AF69" s="108"/>
      <c r="AG69" s="108"/>
      <c r="AH69" s="108"/>
      <c r="AI69" s="108"/>
      <c r="AJ69" s="108"/>
      <c r="AK69" s="108"/>
      <c r="AL69" s="108"/>
      <c r="AM69" s="108"/>
      <c r="AN69" s="108"/>
      <c r="AO69" s="108"/>
      <c r="AP69" s="108"/>
      <c r="AQ69" s="108"/>
      <c r="AR69" s="108"/>
      <c r="AS69" s="108"/>
      <c r="AT69" s="108"/>
      <c r="AU69" s="108"/>
      <c r="AV69" s="108"/>
      <c r="AW69" s="108"/>
      <c r="AX69" s="108"/>
      <c r="AY69" s="108"/>
      <c r="AZ69" s="108"/>
      <c r="BA69" s="108"/>
      <c r="BB69" s="108"/>
      <c r="BC69" s="108"/>
      <c r="BD69" s="108"/>
      <c r="BE69" s="108"/>
      <c r="BF69" s="108"/>
      <c r="BG69" s="108"/>
      <c r="BH69" s="108"/>
      <c r="BI69" s="108"/>
      <c r="BJ69" s="108"/>
      <c r="BK69" s="108"/>
      <c r="BL69" s="108"/>
      <c r="BM69" s="108"/>
    </row>
    <row r="70" spans="1:65">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c r="AA70" s="108"/>
      <c r="AB70" s="108"/>
      <c r="AC70" s="108"/>
      <c r="AD70" s="108"/>
      <c r="AE70" s="108"/>
      <c r="AF70" s="108"/>
      <c r="AG70" s="108"/>
      <c r="AH70" s="108"/>
      <c r="AI70" s="108"/>
      <c r="AJ70" s="108"/>
      <c r="AK70" s="108"/>
      <c r="AL70" s="108"/>
      <c r="AM70" s="108"/>
      <c r="AN70" s="108"/>
      <c r="AO70" s="108"/>
      <c r="AP70" s="108"/>
      <c r="AQ70" s="108"/>
      <c r="AR70" s="108"/>
      <c r="AS70" s="108"/>
      <c r="AT70" s="108"/>
      <c r="AU70" s="108"/>
      <c r="AV70" s="108"/>
      <c r="AW70" s="108"/>
      <c r="AX70" s="108"/>
      <c r="AY70" s="108"/>
      <c r="AZ70" s="108"/>
      <c r="BA70" s="108"/>
      <c r="BB70" s="108"/>
      <c r="BC70" s="108"/>
      <c r="BD70" s="108"/>
      <c r="BE70" s="108"/>
      <c r="BF70" s="108"/>
      <c r="BG70" s="108"/>
      <c r="BH70" s="108"/>
      <c r="BI70" s="108"/>
      <c r="BJ70" s="108"/>
      <c r="BK70" s="108"/>
      <c r="BL70" s="108"/>
      <c r="BM70" s="108"/>
    </row>
    <row r="71" spans="1:65">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c r="AA71" s="108"/>
      <c r="AB71" s="108"/>
      <c r="AC71" s="108"/>
      <c r="AD71" s="108"/>
      <c r="AE71" s="108"/>
      <c r="AF71" s="108"/>
      <c r="AG71" s="108"/>
      <c r="AH71" s="108"/>
      <c r="AI71" s="108"/>
      <c r="AJ71" s="108"/>
      <c r="AK71" s="108"/>
      <c r="AL71" s="108"/>
      <c r="AM71" s="108"/>
      <c r="AN71" s="108"/>
      <c r="AO71" s="108"/>
      <c r="AP71" s="108"/>
      <c r="AQ71" s="108"/>
      <c r="AR71" s="108"/>
      <c r="AS71" s="108"/>
      <c r="AT71" s="108"/>
      <c r="AU71" s="108"/>
      <c r="AV71" s="108"/>
      <c r="AW71" s="108"/>
      <c r="AX71" s="108"/>
      <c r="AY71" s="108"/>
      <c r="AZ71" s="108"/>
      <c r="BA71" s="108"/>
      <c r="BB71" s="108"/>
      <c r="BC71" s="108"/>
      <c r="BD71" s="108"/>
      <c r="BE71" s="108"/>
      <c r="BF71" s="108"/>
      <c r="BG71" s="108"/>
      <c r="BH71" s="108"/>
      <c r="BI71" s="108"/>
      <c r="BJ71" s="108"/>
      <c r="BK71" s="108"/>
      <c r="BL71" s="108"/>
      <c r="BM71" s="108"/>
    </row>
    <row r="72" spans="1:65">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c r="AA72" s="108"/>
      <c r="AB72" s="108"/>
      <c r="AC72" s="108"/>
      <c r="AD72" s="108"/>
      <c r="AE72" s="108"/>
      <c r="AF72" s="108"/>
      <c r="AG72" s="108"/>
      <c r="AH72" s="108"/>
      <c r="AI72" s="108"/>
      <c r="AJ72" s="108"/>
      <c r="AK72" s="108"/>
      <c r="AL72" s="108"/>
      <c r="AM72" s="108"/>
      <c r="AN72" s="108"/>
      <c r="AO72" s="108"/>
      <c r="AP72" s="108"/>
      <c r="AQ72" s="108"/>
      <c r="AR72" s="108"/>
      <c r="AS72" s="108"/>
      <c r="AT72" s="108"/>
      <c r="AU72" s="108"/>
      <c r="AV72" s="108"/>
      <c r="AW72" s="108"/>
      <c r="AX72" s="108"/>
      <c r="AY72" s="108"/>
      <c r="AZ72" s="108"/>
      <c r="BA72" s="108"/>
      <c r="BB72" s="108"/>
      <c r="BC72" s="108"/>
      <c r="BD72" s="108"/>
      <c r="BE72" s="108"/>
      <c r="BF72" s="108"/>
      <c r="BG72" s="108"/>
      <c r="BH72" s="108"/>
      <c r="BI72" s="108"/>
      <c r="BJ72" s="108"/>
      <c r="BK72" s="108"/>
      <c r="BL72" s="108"/>
      <c r="BM72" s="108"/>
    </row>
    <row r="73" spans="1:65">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c r="AA73" s="108"/>
      <c r="AB73" s="108"/>
      <c r="AC73" s="108"/>
      <c r="AD73" s="108"/>
      <c r="AE73" s="108"/>
      <c r="AF73" s="108"/>
      <c r="AG73" s="108"/>
      <c r="AH73" s="108"/>
      <c r="AI73" s="108"/>
      <c r="AJ73" s="108"/>
      <c r="AK73" s="108"/>
      <c r="AL73" s="108"/>
      <c r="AM73" s="108"/>
      <c r="AN73" s="108"/>
      <c r="AO73" s="108"/>
      <c r="AP73" s="108"/>
      <c r="AQ73" s="108"/>
      <c r="AR73" s="108"/>
      <c r="AS73" s="108"/>
      <c r="AT73" s="108"/>
      <c r="AU73" s="108"/>
      <c r="AV73" s="108"/>
      <c r="AW73" s="108"/>
      <c r="AX73" s="108"/>
      <c r="AY73" s="108"/>
      <c r="AZ73" s="108"/>
      <c r="BA73" s="108"/>
      <c r="BB73" s="108"/>
      <c r="BC73" s="108"/>
      <c r="BD73" s="108"/>
      <c r="BE73" s="108"/>
      <c r="BF73" s="108"/>
      <c r="BG73" s="108"/>
      <c r="BH73" s="108"/>
      <c r="BI73" s="108"/>
      <c r="BJ73" s="108"/>
      <c r="BK73" s="108"/>
      <c r="BL73" s="108"/>
      <c r="BM73" s="108"/>
    </row>
    <row r="74" spans="1:65">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c r="AA74" s="108"/>
      <c r="AB74" s="108"/>
      <c r="AC74" s="108"/>
      <c r="AD74" s="108"/>
      <c r="AE74" s="108"/>
      <c r="AF74" s="108"/>
      <c r="AG74" s="108"/>
      <c r="AH74" s="108"/>
      <c r="AI74" s="108"/>
      <c r="AJ74" s="108"/>
      <c r="AK74" s="108"/>
      <c r="AL74" s="108"/>
      <c r="AM74" s="108"/>
      <c r="AN74" s="108"/>
      <c r="AO74" s="108"/>
      <c r="AP74" s="108"/>
      <c r="AQ74" s="108"/>
      <c r="AR74" s="108"/>
      <c r="AS74" s="108"/>
      <c r="AT74" s="108"/>
      <c r="AU74" s="108"/>
      <c r="AV74" s="108"/>
      <c r="AW74" s="108"/>
      <c r="AX74" s="108"/>
      <c r="AY74" s="108"/>
      <c r="AZ74" s="108"/>
      <c r="BA74" s="108"/>
      <c r="BB74" s="108"/>
      <c r="BC74" s="108"/>
      <c r="BD74" s="108"/>
      <c r="BE74" s="108"/>
      <c r="BF74" s="108"/>
      <c r="BG74" s="108"/>
      <c r="BH74" s="108"/>
      <c r="BI74" s="108"/>
      <c r="BJ74" s="108"/>
      <c r="BK74" s="108"/>
      <c r="BL74" s="108"/>
      <c r="BM74" s="108"/>
    </row>
    <row r="75" spans="1:65">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c r="AA75" s="108"/>
      <c r="AB75" s="108"/>
      <c r="AC75" s="108"/>
      <c r="AD75" s="108"/>
      <c r="AE75" s="108"/>
      <c r="AF75" s="108"/>
      <c r="AG75" s="108"/>
      <c r="AH75" s="108"/>
      <c r="AI75" s="108"/>
      <c r="AJ75" s="108"/>
      <c r="AK75" s="108"/>
      <c r="AL75" s="108"/>
      <c r="AM75" s="108"/>
      <c r="AN75" s="108"/>
      <c r="AO75" s="108"/>
      <c r="AP75" s="108"/>
      <c r="AQ75" s="108"/>
      <c r="AR75" s="108"/>
      <c r="AS75" s="108"/>
      <c r="AT75" s="108"/>
      <c r="AU75" s="108"/>
      <c r="AV75" s="108"/>
      <c r="AW75" s="108"/>
      <c r="AX75" s="108"/>
      <c r="AY75" s="108"/>
      <c r="AZ75" s="108"/>
      <c r="BA75" s="108"/>
      <c r="BB75" s="108"/>
      <c r="BC75" s="108"/>
      <c r="BD75" s="108"/>
      <c r="BE75" s="108"/>
      <c r="BF75" s="108"/>
      <c r="BG75" s="108"/>
      <c r="BH75" s="108"/>
      <c r="BI75" s="108"/>
      <c r="BJ75" s="108"/>
      <c r="BK75" s="108"/>
      <c r="BL75" s="108"/>
      <c r="BM75" s="108"/>
    </row>
    <row r="76" spans="1:65">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c r="AA76" s="108"/>
      <c r="AB76" s="108"/>
      <c r="AC76" s="108"/>
      <c r="AD76" s="108"/>
      <c r="AE76" s="108"/>
      <c r="AF76" s="108"/>
      <c r="AG76" s="108"/>
      <c r="AH76" s="108"/>
      <c r="AI76" s="108"/>
      <c r="AJ76" s="108"/>
      <c r="AK76" s="108"/>
      <c r="AL76" s="108"/>
      <c r="AM76" s="108"/>
      <c r="AN76" s="108"/>
      <c r="AO76" s="108"/>
      <c r="AP76" s="108"/>
      <c r="AQ76" s="108"/>
      <c r="AR76" s="108"/>
      <c r="AS76" s="108"/>
      <c r="AT76" s="108"/>
      <c r="AU76" s="108"/>
      <c r="AV76" s="108"/>
      <c r="AW76" s="108"/>
      <c r="AX76" s="108"/>
      <c r="AY76" s="108"/>
      <c r="AZ76" s="108"/>
      <c r="BA76" s="108"/>
      <c r="BB76" s="108"/>
      <c r="BC76" s="108"/>
      <c r="BD76" s="108"/>
      <c r="BE76" s="108"/>
      <c r="BF76" s="108"/>
      <c r="BG76" s="108"/>
      <c r="BH76" s="108"/>
      <c r="BI76" s="108"/>
      <c r="BJ76" s="108"/>
      <c r="BK76" s="108"/>
      <c r="BL76" s="108"/>
      <c r="BM76" s="108"/>
    </row>
    <row r="77" spans="1:65">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c r="AA77" s="108"/>
      <c r="AB77" s="108"/>
      <c r="AC77" s="108"/>
      <c r="AD77" s="108"/>
      <c r="AE77" s="108"/>
      <c r="AF77" s="108"/>
      <c r="AG77" s="108"/>
      <c r="AH77" s="108"/>
      <c r="AI77" s="108"/>
      <c r="AJ77" s="108"/>
      <c r="AK77" s="108"/>
      <c r="AL77" s="108"/>
      <c r="AM77" s="108"/>
      <c r="AN77" s="108"/>
      <c r="AO77" s="108"/>
      <c r="AP77" s="108"/>
      <c r="AQ77" s="108"/>
      <c r="AR77" s="108"/>
      <c r="AS77" s="108"/>
      <c r="AT77" s="108"/>
      <c r="AU77" s="108"/>
      <c r="AV77" s="108"/>
      <c r="AW77" s="108"/>
      <c r="AX77" s="108"/>
      <c r="AY77" s="108"/>
      <c r="AZ77" s="108"/>
      <c r="BA77" s="108"/>
      <c r="BB77" s="108"/>
      <c r="BC77" s="108"/>
      <c r="BD77" s="108"/>
      <c r="BE77" s="108"/>
      <c r="BF77" s="108"/>
      <c r="BG77" s="108"/>
      <c r="BH77" s="108"/>
      <c r="BI77" s="108"/>
      <c r="BJ77" s="108"/>
      <c r="BK77" s="108"/>
      <c r="BL77" s="108"/>
      <c r="BM77" s="108"/>
    </row>
    <row r="78" spans="1:65">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c r="AA78" s="108"/>
      <c r="AB78" s="108"/>
      <c r="AC78" s="108"/>
      <c r="AD78" s="108"/>
      <c r="AE78" s="108"/>
      <c r="AF78" s="108"/>
      <c r="AG78" s="108"/>
      <c r="AH78" s="108"/>
      <c r="AI78" s="108"/>
      <c r="AJ78" s="108"/>
      <c r="AK78" s="108"/>
      <c r="AL78" s="108"/>
      <c r="AM78" s="108"/>
      <c r="AN78" s="108"/>
      <c r="AO78" s="108"/>
      <c r="AP78" s="108"/>
      <c r="AQ78" s="108"/>
      <c r="AR78" s="108"/>
      <c r="AS78" s="108"/>
      <c r="AT78" s="108"/>
      <c r="AU78" s="108"/>
      <c r="AV78" s="108"/>
      <c r="AW78" s="108"/>
      <c r="AX78" s="108"/>
      <c r="AY78" s="108"/>
      <c r="AZ78" s="108"/>
      <c r="BA78" s="108"/>
      <c r="BB78" s="108"/>
      <c r="BC78" s="108"/>
      <c r="BD78" s="108"/>
      <c r="BE78" s="108"/>
      <c r="BF78" s="108"/>
      <c r="BG78" s="108"/>
      <c r="BH78" s="108"/>
      <c r="BI78" s="108"/>
      <c r="BJ78" s="108"/>
      <c r="BK78" s="108"/>
      <c r="BL78" s="108"/>
      <c r="BM78" s="108"/>
    </row>
    <row r="79" spans="1:65">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c r="AA79" s="108"/>
      <c r="AB79" s="108"/>
      <c r="AC79" s="108"/>
      <c r="AD79" s="108"/>
      <c r="AE79" s="108"/>
      <c r="AF79" s="108"/>
      <c r="AG79" s="108"/>
      <c r="AH79" s="108"/>
      <c r="AI79" s="108"/>
      <c r="AJ79" s="108"/>
      <c r="AK79" s="108"/>
      <c r="AL79" s="108"/>
      <c r="AM79" s="108"/>
      <c r="AN79" s="108"/>
      <c r="AO79" s="108"/>
      <c r="AP79" s="108"/>
      <c r="AQ79" s="108"/>
      <c r="AR79" s="108"/>
      <c r="AS79" s="108"/>
      <c r="AT79" s="108"/>
      <c r="AU79" s="108"/>
      <c r="AV79" s="108"/>
      <c r="AW79" s="108"/>
      <c r="AX79" s="108"/>
      <c r="AY79" s="108"/>
      <c r="AZ79" s="108"/>
      <c r="BA79" s="108"/>
      <c r="BB79" s="108"/>
      <c r="BC79" s="108"/>
      <c r="BD79" s="108"/>
      <c r="BE79" s="108"/>
      <c r="BF79" s="108"/>
      <c r="BG79" s="108"/>
      <c r="BH79" s="108"/>
      <c r="BI79" s="108"/>
      <c r="BJ79" s="108"/>
      <c r="BK79" s="108"/>
      <c r="BL79" s="108"/>
      <c r="BM79" s="108"/>
    </row>
    <row r="80" spans="1:65">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c r="AA80" s="108"/>
      <c r="AB80" s="108"/>
      <c r="AC80" s="108"/>
      <c r="AD80" s="108"/>
      <c r="AE80" s="108"/>
      <c r="AF80" s="108"/>
      <c r="AG80" s="108"/>
      <c r="AH80" s="108"/>
      <c r="AI80" s="108"/>
      <c r="AJ80" s="108"/>
      <c r="AK80" s="108"/>
      <c r="AL80" s="108"/>
      <c r="AM80" s="108"/>
      <c r="AN80" s="108"/>
      <c r="AO80" s="108"/>
      <c r="AP80" s="108"/>
      <c r="AQ80" s="108"/>
      <c r="AR80" s="108"/>
      <c r="AS80" s="108"/>
      <c r="AT80" s="108"/>
      <c r="AU80" s="108"/>
      <c r="AV80" s="108"/>
      <c r="AW80" s="108"/>
      <c r="AX80" s="108"/>
      <c r="AY80" s="108"/>
      <c r="AZ80" s="108"/>
      <c r="BA80" s="108"/>
      <c r="BB80" s="108"/>
      <c r="BC80" s="108"/>
      <c r="BD80" s="108"/>
      <c r="BE80" s="108"/>
      <c r="BF80" s="108"/>
      <c r="BG80" s="108"/>
      <c r="BH80" s="108"/>
      <c r="BI80" s="108"/>
      <c r="BJ80" s="108"/>
      <c r="BK80" s="108"/>
      <c r="BL80" s="108"/>
      <c r="BM80" s="108"/>
    </row>
    <row r="81" spans="1:65">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c r="AA81" s="108"/>
      <c r="AB81" s="108"/>
      <c r="AC81" s="108"/>
      <c r="AD81" s="108"/>
      <c r="AE81" s="108"/>
      <c r="AF81" s="108"/>
      <c r="AG81" s="108"/>
      <c r="AH81" s="108"/>
      <c r="AI81" s="108"/>
      <c r="AJ81" s="108"/>
      <c r="AK81" s="108"/>
      <c r="AL81" s="108"/>
      <c r="AM81" s="108"/>
      <c r="AN81" s="108"/>
      <c r="AO81" s="108"/>
      <c r="AP81" s="108"/>
      <c r="AQ81" s="108"/>
      <c r="AR81" s="108"/>
      <c r="AS81" s="108"/>
      <c r="AT81" s="108"/>
      <c r="AU81" s="108"/>
      <c r="AV81" s="108"/>
      <c r="AW81" s="108"/>
      <c r="AX81" s="108"/>
      <c r="AY81" s="108"/>
      <c r="AZ81" s="108"/>
      <c r="BA81" s="108"/>
      <c r="BB81" s="108"/>
      <c r="BC81" s="108"/>
      <c r="BD81" s="108"/>
      <c r="BE81" s="108"/>
      <c r="BF81" s="108"/>
      <c r="BG81" s="108"/>
      <c r="BH81" s="108"/>
      <c r="BI81" s="108"/>
      <c r="BJ81" s="108"/>
      <c r="BK81" s="108"/>
      <c r="BL81" s="108"/>
      <c r="BM81" s="108"/>
    </row>
    <row r="82" spans="1:65">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c r="AA82" s="108"/>
      <c r="AB82" s="108"/>
      <c r="AC82" s="108"/>
      <c r="AD82" s="108"/>
      <c r="AE82" s="108"/>
      <c r="AF82" s="108"/>
      <c r="AG82" s="108"/>
      <c r="AH82" s="108"/>
      <c r="AI82" s="108"/>
      <c r="AJ82" s="108"/>
      <c r="AK82" s="108"/>
      <c r="AL82" s="108"/>
      <c r="AM82" s="108"/>
      <c r="AN82" s="108"/>
      <c r="AO82" s="108"/>
      <c r="AP82" s="108"/>
      <c r="AQ82" s="108"/>
      <c r="AR82" s="108"/>
      <c r="AS82" s="108"/>
      <c r="AT82" s="108"/>
      <c r="AU82" s="108"/>
      <c r="AV82" s="108"/>
      <c r="AW82" s="108"/>
      <c r="AX82" s="108"/>
      <c r="AY82" s="108"/>
      <c r="AZ82" s="108"/>
      <c r="BA82" s="108"/>
      <c r="BB82" s="108"/>
      <c r="BC82" s="108"/>
      <c r="BD82" s="108"/>
      <c r="BE82" s="108"/>
      <c r="BF82" s="108"/>
      <c r="BG82" s="108"/>
      <c r="BH82" s="108"/>
      <c r="BI82" s="108"/>
      <c r="BJ82" s="108"/>
      <c r="BK82" s="108"/>
      <c r="BL82" s="108"/>
      <c r="BM82" s="108"/>
    </row>
    <row r="83" spans="1:65">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c r="AA83" s="108"/>
      <c r="AB83" s="108"/>
      <c r="AC83" s="108"/>
      <c r="AD83" s="108"/>
      <c r="AE83" s="108"/>
      <c r="AF83" s="108"/>
      <c r="AG83" s="108"/>
      <c r="AH83" s="108"/>
      <c r="AI83" s="108"/>
      <c r="AJ83" s="108"/>
      <c r="AK83" s="108"/>
      <c r="AL83" s="108"/>
      <c r="AM83" s="108"/>
      <c r="AN83" s="108"/>
      <c r="AO83" s="108"/>
      <c r="AP83" s="108"/>
      <c r="AQ83" s="108"/>
      <c r="AR83" s="108"/>
      <c r="AS83" s="108"/>
      <c r="AT83" s="108"/>
      <c r="AU83" s="108"/>
      <c r="AV83" s="108"/>
      <c r="AW83" s="108"/>
      <c r="AX83" s="108"/>
      <c r="AY83" s="108"/>
      <c r="AZ83" s="108"/>
      <c r="BA83" s="108"/>
      <c r="BB83" s="108"/>
      <c r="BC83" s="108"/>
      <c r="BD83" s="108"/>
      <c r="BE83" s="108"/>
      <c r="BF83" s="108"/>
      <c r="BG83" s="108"/>
      <c r="BH83" s="108"/>
      <c r="BI83" s="108"/>
      <c r="BJ83" s="108"/>
      <c r="BK83" s="108"/>
      <c r="BL83" s="108"/>
      <c r="BM83" s="108"/>
    </row>
    <row r="84" spans="1:65">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c r="AA84" s="108"/>
      <c r="AB84" s="108"/>
      <c r="AC84" s="108"/>
      <c r="AD84" s="108"/>
      <c r="AE84" s="108"/>
      <c r="AF84" s="108"/>
      <c r="AG84" s="108"/>
      <c r="AH84" s="108"/>
      <c r="AI84" s="108"/>
      <c r="AJ84" s="108"/>
      <c r="AK84" s="108"/>
      <c r="AL84" s="108"/>
      <c r="AM84" s="108"/>
      <c r="AN84" s="108"/>
      <c r="AO84" s="108"/>
      <c r="AP84" s="108"/>
      <c r="AQ84" s="108"/>
      <c r="AR84" s="108"/>
      <c r="AS84" s="108"/>
      <c r="AT84" s="108"/>
      <c r="AU84" s="108"/>
      <c r="AV84" s="108"/>
      <c r="AW84" s="108"/>
      <c r="AX84" s="108"/>
      <c r="AY84" s="108"/>
      <c r="AZ84" s="108"/>
      <c r="BA84" s="108"/>
      <c r="BB84" s="108"/>
      <c r="BC84" s="108"/>
      <c r="BD84" s="108"/>
      <c r="BE84" s="108"/>
      <c r="BF84" s="108"/>
      <c r="BG84" s="108"/>
      <c r="BH84" s="108"/>
      <c r="BI84" s="108"/>
      <c r="BJ84" s="108"/>
      <c r="BK84" s="108"/>
      <c r="BL84" s="108"/>
      <c r="BM84" s="108"/>
    </row>
    <row r="85" spans="1:65">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c r="AA85" s="108"/>
      <c r="AB85" s="108"/>
      <c r="AC85" s="108"/>
      <c r="AD85" s="108"/>
      <c r="AE85" s="108"/>
      <c r="AF85" s="108"/>
      <c r="AG85" s="108"/>
      <c r="AH85" s="108"/>
      <c r="AI85" s="108"/>
      <c r="AJ85" s="108"/>
      <c r="AK85" s="108"/>
      <c r="AL85" s="108"/>
      <c r="AM85" s="108"/>
      <c r="AN85" s="108"/>
      <c r="AO85" s="108"/>
      <c r="AP85" s="108"/>
      <c r="AQ85" s="108"/>
      <c r="AR85" s="108"/>
      <c r="AS85" s="108"/>
      <c r="AT85" s="108"/>
      <c r="AU85" s="108"/>
      <c r="AV85" s="108"/>
      <c r="AW85" s="108"/>
      <c r="AX85" s="108"/>
      <c r="AY85" s="108"/>
      <c r="AZ85" s="108"/>
      <c r="BA85" s="108"/>
      <c r="BB85" s="108"/>
      <c r="BC85" s="108"/>
      <c r="BD85" s="108"/>
      <c r="BE85" s="108"/>
      <c r="BF85" s="108"/>
      <c r="BG85" s="108"/>
      <c r="BH85" s="108"/>
      <c r="BI85" s="108"/>
      <c r="BJ85" s="108"/>
      <c r="BK85" s="108"/>
      <c r="BL85" s="108"/>
      <c r="BM85" s="108"/>
    </row>
    <row r="86" spans="1:65">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c r="AA86" s="108"/>
      <c r="AB86" s="108"/>
      <c r="AC86" s="108"/>
      <c r="AD86" s="108"/>
      <c r="AE86" s="108"/>
      <c r="AF86" s="108"/>
      <c r="AG86" s="108"/>
      <c r="AH86" s="108"/>
      <c r="AI86" s="108"/>
      <c r="AJ86" s="108"/>
      <c r="AK86" s="108"/>
      <c r="AL86" s="108"/>
      <c r="AM86" s="108"/>
      <c r="AN86" s="108"/>
      <c r="AO86" s="108"/>
      <c r="AP86" s="108"/>
      <c r="AQ86" s="108"/>
      <c r="AR86" s="108"/>
      <c r="AS86" s="108"/>
      <c r="AT86" s="108"/>
      <c r="AU86" s="108"/>
      <c r="AV86" s="108"/>
      <c r="AW86" s="108"/>
      <c r="AX86" s="108"/>
      <c r="AY86" s="108"/>
      <c r="AZ86" s="108"/>
      <c r="BA86" s="108"/>
      <c r="BB86" s="108"/>
      <c r="BC86" s="108"/>
      <c r="BD86" s="108"/>
      <c r="BE86" s="108"/>
      <c r="BF86" s="108"/>
      <c r="BG86" s="108"/>
      <c r="BH86" s="108"/>
      <c r="BI86" s="108"/>
      <c r="BJ86" s="108"/>
      <c r="BK86" s="108"/>
      <c r="BL86" s="108"/>
      <c r="BM86" s="108"/>
    </row>
    <row r="87" spans="1:65">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c r="AA87" s="108"/>
      <c r="AB87" s="108"/>
      <c r="AC87" s="108"/>
      <c r="AD87" s="108"/>
      <c r="AE87" s="108"/>
      <c r="AF87" s="108"/>
      <c r="AG87" s="108"/>
      <c r="AH87" s="108"/>
      <c r="AI87" s="108"/>
      <c r="AJ87" s="108"/>
      <c r="AK87" s="108"/>
      <c r="AL87" s="108"/>
      <c r="AM87" s="108"/>
      <c r="AN87" s="108"/>
      <c r="AO87" s="108"/>
      <c r="AP87" s="108"/>
      <c r="AQ87" s="108"/>
      <c r="AR87" s="108"/>
      <c r="AS87" s="108"/>
      <c r="AT87" s="108"/>
      <c r="AU87" s="108"/>
      <c r="AV87" s="108"/>
      <c r="AW87" s="108"/>
      <c r="AX87" s="108"/>
      <c r="AY87" s="108"/>
      <c r="AZ87" s="108"/>
      <c r="BA87" s="108"/>
      <c r="BB87" s="108"/>
      <c r="BC87" s="108"/>
      <c r="BD87" s="108"/>
      <c r="BE87" s="108"/>
      <c r="BF87" s="108"/>
      <c r="BG87" s="108"/>
      <c r="BH87" s="108"/>
      <c r="BI87" s="108"/>
      <c r="BJ87" s="108"/>
      <c r="BK87" s="108"/>
      <c r="BL87" s="108"/>
      <c r="BM87" s="108"/>
    </row>
    <row r="88" spans="1:65">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c r="AA88" s="108"/>
      <c r="AB88" s="108"/>
      <c r="AC88" s="108"/>
      <c r="AD88" s="108"/>
      <c r="AE88" s="108"/>
      <c r="AF88" s="108"/>
      <c r="AG88" s="108"/>
      <c r="AH88" s="108"/>
      <c r="AI88" s="108"/>
      <c r="AJ88" s="108"/>
      <c r="AK88" s="108"/>
      <c r="AL88" s="108"/>
      <c r="AM88" s="108"/>
      <c r="AN88" s="108"/>
      <c r="AO88" s="108"/>
      <c r="AP88" s="108"/>
      <c r="AQ88" s="108"/>
      <c r="AR88" s="108"/>
      <c r="AS88" s="108"/>
      <c r="AT88" s="108"/>
      <c r="AU88" s="108"/>
      <c r="AV88" s="108"/>
      <c r="AW88" s="108"/>
      <c r="AX88" s="108"/>
      <c r="AY88" s="108"/>
      <c r="AZ88" s="108"/>
      <c r="BA88" s="108"/>
      <c r="BB88" s="108"/>
      <c r="BC88" s="108"/>
      <c r="BD88" s="108"/>
      <c r="BE88" s="108"/>
      <c r="BF88" s="108"/>
      <c r="BG88" s="108"/>
      <c r="BH88" s="108"/>
      <c r="BI88" s="108"/>
      <c r="BJ88" s="108"/>
      <c r="BK88" s="108"/>
      <c r="BL88" s="108"/>
      <c r="BM88" s="108"/>
    </row>
    <row r="89" spans="1:65">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c r="AA89" s="108"/>
      <c r="AB89" s="108"/>
      <c r="AC89" s="108"/>
      <c r="AD89" s="108"/>
      <c r="AE89" s="108"/>
      <c r="AF89" s="108"/>
      <c r="AG89" s="108"/>
      <c r="AH89" s="108"/>
      <c r="AI89" s="108"/>
      <c r="AJ89" s="108"/>
      <c r="AK89" s="108"/>
      <c r="AL89" s="108"/>
      <c r="AM89" s="108"/>
      <c r="AN89" s="108"/>
      <c r="AO89" s="108"/>
      <c r="AP89" s="108"/>
      <c r="AQ89" s="108"/>
      <c r="AR89" s="108"/>
      <c r="AS89" s="108"/>
      <c r="AT89" s="108"/>
      <c r="AU89" s="108"/>
      <c r="AV89" s="108"/>
      <c r="AW89" s="108"/>
      <c r="AX89" s="108"/>
      <c r="AY89" s="108"/>
      <c r="AZ89" s="108"/>
      <c r="BA89" s="108"/>
      <c r="BB89" s="108"/>
      <c r="BC89" s="108"/>
      <c r="BD89" s="108"/>
      <c r="BE89" s="108"/>
      <c r="BF89" s="108"/>
      <c r="BG89" s="108"/>
      <c r="BH89" s="108"/>
      <c r="BI89" s="108"/>
      <c r="BJ89" s="108"/>
      <c r="BK89" s="108"/>
      <c r="BL89" s="108"/>
      <c r="BM89" s="108"/>
    </row>
    <row r="90" spans="1:65">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c r="AA90" s="108"/>
      <c r="AB90" s="108"/>
      <c r="AC90" s="108"/>
      <c r="AD90" s="108"/>
      <c r="AE90" s="108"/>
      <c r="AF90" s="108"/>
      <c r="AG90" s="108"/>
      <c r="AH90" s="108"/>
      <c r="AI90" s="108"/>
      <c r="AJ90" s="108"/>
      <c r="AK90" s="108"/>
      <c r="AL90" s="108"/>
      <c r="AM90" s="108"/>
      <c r="AN90" s="108"/>
      <c r="AO90" s="108"/>
      <c r="AP90" s="108"/>
      <c r="AQ90" s="108"/>
      <c r="AR90" s="108"/>
      <c r="AS90" s="108"/>
      <c r="AT90" s="108"/>
      <c r="AU90" s="108"/>
      <c r="AV90" s="108"/>
      <c r="AW90" s="108"/>
      <c r="AX90" s="108"/>
      <c r="AY90" s="108"/>
      <c r="AZ90" s="108"/>
      <c r="BA90" s="108"/>
      <c r="BB90" s="108"/>
      <c r="BC90" s="108"/>
      <c r="BD90" s="108"/>
      <c r="BE90" s="108"/>
      <c r="BF90" s="108"/>
      <c r="BG90" s="108"/>
      <c r="BH90" s="108"/>
      <c r="BI90" s="108"/>
      <c r="BJ90" s="108"/>
      <c r="BK90" s="108"/>
      <c r="BL90" s="108"/>
      <c r="BM90" s="108"/>
    </row>
    <row r="91" spans="1:65">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c r="AA91" s="108"/>
      <c r="AB91" s="108"/>
      <c r="AC91" s="108"/>
      <c r="AD91" s="108"/>
      <c r="AE91" s="108"/>
      <c r="AF91" s="108"/>
      <c r="AG91" s="108"/>
      <c r="AH91" s="108"/>
      <c r="AI91" s="108"/>
      <c r="AJ91" s="108"/>
      <c r="AK91" s="108"/>
      <c r="AL91" s="108"/>
      <c r="AM91" s="108"/>
      <c r="AN91" s="108"/>
      <c r="AO91" s="108"/>
      <c r="AP91" s="108"/>
      <c r="AQ91" s="108"/>
      <c r="AR91" s="108"/>
      <c r="AS91" s="108"/>
      <c r="AT91" s="108"/>
      <c r="AU91" s="108"/>
      <c r="AV91" s="108"/>
      <c r="AW91" s="108"/>
      <c r="AX91" s="108"/>
      <c r="AY91" s="108"/>
      <c r="AZ91" s="108"/>
      <c r="BA91" s="108"/>
      <c r="BB91" s="108"/>
      <c r="BC91" s="108"/>
      <c r="BD91" s="108"/>
      <c r="BE91" s="108"/>
      <c r="BF91" s="108"/>
      <c r="BG91" s="108"/>
      <c r="BH91" s="108"/>
      <c r="BI91" s="108"/>
      <c r="BJ91" s="108"/>
      <c r="BK91" s="108"/>
      <c r="BL91" s="108"/>
      <c r="BM91" s="108"/>
    </row>
    <row r="92" spans="1:65">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c r="AA92" s="108"/>
      <c r="AB92" s="108"/>
      <c r="AC92" s="108"/>
      <c r="AD92" s="108"/>
      <c r="AE92" s="108"/>
      <c r="AF92" s="108"/>
      <c r="AG92" s="108"/>
      <c r="AH92" s="108"/>
      <c r="AI92" s="108"/>
      <c r="AJ92" s="108"/>
      <c r="AK92" s="108"/>
      <c r="AL92" s="108"/>
      <c r="AM92" s="108"/>
      <c r="AN92" s="108"/>
      <c r="AO92" s="108"/>
      <c r="AP92" s="108"/>
      <c r="AQ92" s="108"/>
      <c r="AR92" s="108"/>
      <c r="AS92" s="108"/>
      <c r="AT92" s="108"/>
      <c r="AU92" s="108"/>
      <c r="AV92" s="108"/>
      <c r="AW92" s="108"/>
      <c r="AX92" s="108"/>
      <c r="AY92" s="108"/>
      <c r="AZ92" s="108"/>
      <c r="BA92" s="108"/>
      <c r="BB92" s="108"/>
      <c r="BC92" s="108"/>
      <c r="BD92" s="108"/>
      <c r="BE92" s="108"/>
      <c r="BF92" s="108"/>
      <c r="BG92" s="108"/>
      <c r="BH92" s="108"/>
      <c r="BI92" s="108"/>
      <c r="BJ92" s="108"/>
      <c r="BK92" s="108"/>
      <c r="BL92" s="108"/>
      <c r="BM92" s="108"/>
    </row>
    <row r="93" spans="1:65">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c r="AA93" s="108"/>
      <c r="AB93" s="108"/>
      <c r="AC93" s="108"/>
      <c r="AD93" s="108"/>
      <c r="AE93" s="108"/>
      <c r="AF93" s="108"/>
      <c r="AG93" s="108"/>
      <c r="AH93" s="108"/>
      <c r="AI93" s="108"/>
      <c r="AJ93" s="108"/>
      <c r="AK93" s="108"/>
      <c r="AL93" s="108"/>
      <c r="AM93" s="108"/>
      <c r="AN93" s="108"/>
      <c r="AO93" s="108"/>
      <c r="AP93" s="108"/>
      <c r="AQ93" s="108"/>
      <c r="AR93" s="108"/>
      <c r="AS93" s="108"/>
      <c r="AT93" s="108"/>
      <c r="AU93" s="108"/>
      <c r="AV93" s="108"/>
      <c r="AW93" s="108"/>
      <c r="AX93" s="108"/>
      <c r="AY93" s="108"/>
      <c r="AZ93" s="108"/>
      <c r="BA93" s="108"/>
      <c r="BB93" s="108"/>
      <c r="BC93" s="108"/>
      <c r="BD93" s="108"/>
      <c r="BE93" s="108"/>
      <c r="BF93" s="108"/>
      <c r="BG93" s="108"/>
      <c r="BH93" s="108"/>
      <c r="BI93" s="108"/>
      <c r="BJ93" s="108"/>
      <c r="BK93" s="108"/>
      <c r="BL93" s="108"/>
      <c r="BM93" s="108"/>
    </row>
    <row r="94" spans="1:65">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c r="AA94" s="108"/>
      <c r="AB94" s="108"/>
      <c r="AC94" s="108"/>
      <c r="AD94" s="108"/>
      <c r="AE94" s="108"/>
      <c r="AF94" s="108"/>
      <c r="AG94" s="108"/>
      <c r="AH94" s="108"/>
      <c r="AI94" s="108"/>
      <c r="AJ94" s="108"/>
      <c r="AK94" s="108"/>
      <c r="AL94" s="108"/>
      <c r="AM94" s="108"/>
      <c r="AN94" s="108"/>
      <c r="AO94" s="108"/>
      <c r="AP94" s="108"/>
      <c r="AQ94" s="108"/>
      <c r="AR94" s="108"/>
      <c r="AS94" s="108"/>
      <c r="AT94" s="108"/>
      <c r="AU94" s="108"/>
      <c r="AV94" s="108"/>
      <c r="AW94" s="108"/>
      <c r="AX94" s="108"/>
      <c r="AY94" s="108"/>
      <c r="AZ94" s="108"/>
      <c r="BA94" s="108"/>
      <c r="BB94" s="108"/>
      <c r="BC94" s="108"/>
      <c r="BD94" s="108"/>
      <c r="BE94" s="108"/>
      <c r="BF94" s="108"/>
      <c r="BG94" s="108"/>
      <c r="BH94" s="108"/>
      <c r="BI94" s="108"/>
      <c r="BJ94" s="108"/>
      <c r="BK94" s="108"/>
      <c r="BL94" s="108"/>
      <c r="BM94" s="108"/>
    </row>
    <row r="95" spans="1:65">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c r="AA95" s="108"/>
      <c r="AB95" s="108"/>
      <c r="AC95" s="108"/>
      <c r="AD95" s="108"/>
      <c r="AE95" s="108"/>
      <c r="AF95" s="108"/>
      <c r="AG95" s="108"/>
      <c r="AH95" s="108"/>
      <c r="AI95" s="108"/>
      <c r="AJ95" s="108"/>
      <c r="AK95" s="108"/>
      <c r="AL95" s="108"/>
      <c r="AM95" s="108"/>
      <c r="AN95" s="108"/>
      <c r="AO95" s="108"/>
      <c r="AP95" s="108"/>
      <c r="AQ95" s="108"/>
      <c r="AR95" s="108"/>
      <c r="AS95" s="108"/>
      <c r="AT95" s="108"/>
      <c r="AU95" s="108"/>
      <c r="AV95" s="108"/>
      <c r="AW95" s="108"/>
      <c r="AX95" s="108"/>
      <c r="AY95" s="108"/>
      <c r="AZ95" s="108"/>
      <c r="BA95" s="108"/>
      <c r="BB95" s="108"/>
      <c r="BC95" s="108"/>
      <c r="BD95" s="108"/>
      <c r="BE95" s="108"/>
      <c r="BF95" s="108"/>
      <c r="BG95" s="108"/>
      <c r="BH95" s="108"/>
      <c r="BI95" s="108"/>
      <c r="BJ95" s="108"/>
      <c r="BK95" s="108"/>
      <c r="BL95" s="108"/>
      <c r="BM95" s="108"/>
    </row>
    <row r="96" spans="1:65">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c r="BA96" s="108"/>
      <c r="BB96" s="108"/>
      <c r="BC96" s="108"/>
      <c r="BD96" s="108"/>
      <c r="BE96" s="108"/>
      <c r="BF96" s="108"/>
      <c r="BG96" s="108"/>
      <c r="BH96" s="108"/>
      <c r="BI96" s="108"/>
      <c r="BJ96" s="108"/>
      <c r="BK96" s="108"/>
      <c r="BL96" s="108"/>
      <c r="BM96" s="108"/>
    </row>
    <row r="97" spans="1:65">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c r="AA97" s="108"/>
      <c r="AB97" s="108"/>
      <c r="AC97" s="108"/>
      <c r="AD97" s="108"/>
      <c r="AE97" s="108"/>
      <c r="AF97" s="108"/>
      <c r="AG97" s="108"/>
      <c r="AH97" s="108"/>
      <c r="AI97" s="108"/>
      <c r="AJ97" s="108"/>
      <c r="AK97" s="108"/>
      <c r="AL97" s="108"/>
      <c r="AM97" s="108"/>
      <c r="AN97" s="108"/>
      <c r="AO97" s="108"/>
      <c r="AP97" s="108"/>
      <c r="AQ97" s="108"/>
      <c r="AR97" s="108"/>
      <c r="AS97" s="108"/>
      <c r="AT97" s="108"/>
      <c r="AU97" s="108"/>
      <c r="AV97" s="108"/>
      <c r="AW97" s="108"/>
      <c r="AX97" s="108"/>
      <c r="AY97" s="108"/>
      <c r="AZ97" s="108"/>
      <c r="BA97" s="108"/>
      <c r="BB97" s="108"/>
      <c r="BC97" s="108"/>
      <c r="BD97" s="108"/>
      <c r="BE97" s="108"/>
      <c r="BF97" s="108"/>
      <c r="BG97" s="108"/>
      <c r="BH97" s="108"/>
      <c r="BI97" s="108"/>
      <c r="BJ97" s="108"/>
      <c r="BK97" s="108"/>
      <c r="BL97" s="108"/>
      <c r="BM97" s="108"/>
    </row>
    <row r="98" spans="1:65">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c r="AA98" s="108"/>
      <c r="AB98" s="108"/>
      <c r="AC98" s="108"/>
      <c r="AD98" s="108"/>
      <c r="AE98" s="108"/>
      <c r="AF98" s="108"/>
      <c r="AG98" s="108"/>
      <c r="AH98" s="108"/>
      <c r="AI98" s="108"/>
      <c r="AJ98" s="108"/>
      <c r="AK98" s="108"/>
      <c r="AL98" s="108"/>
      <c r="AM98" s="108"/>
      <c r="AN98" s="108"/>
      <c r="AO98" s="108"/>
      <c r="AP98" s="108"/>
      <c r="AQ98" s="108"/>
      <c r="AR98" s="108"/>
      <c r="AS98" s="108"/>
      <c r="AT98" s="108"/>
      <c r="AU98" s="108"/>
      <c r="AV98" s="108"/>
      <c r="AW98" s="108"/>
      <c r="AX98" s="108"/>
      <c r="AY98" s="108"/>
      <c r="AZ98" s="108"/>
      <c r="BA98" s="108"/>
      <c r="BB98" s="108"/>
      <c r="BC98" s="108"/>
      <c r="BD98" s="108"/>
      <c r="BE98" s="108"/>
      <c r="BF98" s="108"/>
      <c r="BG98" s="108"/>
      <c r="BH98" s="108"/>
      <c r="BI98" s="108"/>
      <c r="BJ98" s="108"/>
      <c r="BK98" s="108"/>
      <c r="BL98" s="108"/>
      <c r="BM98" s="108"/>
    </row>
    <row r="99" spans="1:65">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c r="AA99" s="108"/>
      <c r="AB99" s="108"/>
      <c r="AC99" s="108"/>
      <c r="AD99" s="108"/>
      <c r="AE99" s="108"/>
      <c r="AF99" s="108"/>
      <c r="AG99" s="108"/>
      <c r="AH99" s="108"/>
      <c r="AI99" s="108"/>
      <c r="AJ99" s="108"/>
      <c r="AK99" s="108"/>
      <c r="AL99" s="108"/>
      <c r="AM99" s="108"/>
      <c r="AN99" s="108"/>
      <c r="AO99" s="108"/>
      <c r="AP99" s="108"/>
      <c r="AQ99" s="108"/>
      <c r="AR99" s="108"/>
      <c r="AS99" s="108"/>
      <c r="AT99" s="108"/>
      <c r="AU99" s="108"/>
      <c r="AV99" s="108"/>
      <c r="AW99" s="108"/>
      <c r="AX99" s="108"/>
      <c r="AY99" s="108"/>
      <c r="AZ99" s="108"/>
      <c r="BA99" s="108"/>
      <c r="BB99" s="108"/>
      <c r="BC99" s="108"/>
      <c r="BD99" s="108"/>
      <c r="BE99" s="108"/>
      <c r="BF99" s="108"/>
      <c r="BG99" s="108"/>
      <c r="BH99" s="108"/>
      <c r="BI99" s="108"/>
      <c r="BJ99" s="108"/>
      <c r="BK99" s="108"/>
      <c r="BL99" s="108"/>
      <c r="BM99" s="108"/>
    </row>
    <row r="100" spans="1:65">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c r="AA100" s="108"/>
      <c r="AB100" s="108"/>
      <c r="AC100" s="108"/>
      <c r="AD100" s="108"/>
      <c r="AE100" s="108"/>
      <c r="AF100" s="108"/>
      <c r="AG100" s="108"/>
      <c r="AH100" s="108"/>
      <c r="AI100" s="108"/>
      <c r="AJ100" s="108"/>
      <c r="AK100" s="108"/>
      <c r="AL100" s="108"/>
      <c r="AM100" s="108"/>
      <c r="AN100" s="108"/>
      <c r="AO100" s="108"/>
      <c r="AP100" s="108"/>
      <c r="AQ100" s="108"/>
      <c r="AR100" s="108"/>
      <c r="AS100" s="108"/>
      <c r="AT100" s="108"/>
      <c r="AU100" s="108"/>
      <c r="AV100" s="108"/>
      <c r="AW100" s="108"/>
      <c r="AX100" s="108"/>
      <c r="AY100" s="108"/>
      <c r="AZ100" s="108"/>
      <c r="BA100" s="108"/>
      <c r="BB100" s="108"/>
      <c r="BC100" s="108"/>
      <c r="BD100" s="108"/>
      <c r="BE100" s="108"/>
      <c r="BF100" s="108"/>
      <c r="BG100" s="108"/>
      <c r="BH100" s="108"/>
      <c r="BI100" s="108"/>
      <c r="BJ100" s="108"/>
      <c r="BK100" s="108"/>
      <c r="BL100" s="108"/>
      <c r="BM100" s="108"/>
    </row>
    <row r="101" spans="1:65">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c r="AA101" s="108"/>
      <c r="AB101" s="108"/>
      <c r="AC101" s="108"/>
      <c r="AD101" s="108"/>
      <c r="AE101" s="108"/>
      <c r="AF101" s="108"/>
      <c r="AG101" s="108"/>
      <c r="AH101" s="108"/>
      <c r="AI101" s="108"/>
      <c r="AJ101" s="108"/>
      <c r="AK101" s="108"/>
      <c r="AL101" s="108"/>
      <c r="AM101" s="108"/>
      <c r="AN101" s="108"/>
      <c r="AO101" s="108"/>
      <c r="AP101" s="108"/>
      <c r="AQ101" s="108"/>
      <c r="AR101" s="108"/>
      <c r="AS101" s="108"/>
      <c r="AT101" s="108"/>
      <c r="AU101" s="108"/>
      <c r="AV101" s="108"/>
      <c r="AW101" s="108"/>
      <c r="AX101" s="108"/>
      <c r="AY101" s="108"/>
      <c r="AZ101" s="108"/>
      <c r="BA101" s="108"/>
      <c r="BB101" s="108"/>
      <c r="BC101" s="108"/>
      <c r="BD101" s="108"/>
      <c r="BE101" s="108"/>
      <c r="BF101" s="108"/>
      <c r="BG101" s="108"/>
      <c r="BH101" s="108"/>
      <c r="BI101" s="108"/>
      <c r="BJ101" s="108"/>
      <c r="BK101" s="108"/>
      <c r="BL101" s="108"/>
      <c r="BM101" s="108"/>
    </row>
    <row r="102" spans="1:65">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c r="AA102" s="108"/>
      <c r="AB102" s="108"/>
      <c r="AC102" s="108"/>
      <c r="AD102" s="108"/>
      <c r="AE102" s="108"/>
      <c r="AF102" s="108"/>
      <c r="AG102" s="108"/>
      <c r="AH102" s="108"/>
      <c r="AI102" s="108"/>
      <c r="AJ102" s="108"/>
      <c r="AK102" s="108"/>
      <c r="AL102" s="108"/>
      <c r="AM102" s="108"/>
      <c r="AN102" s="108"/>
      <c r="AO102" s="108"/>
      <c r="AP102" s="108"/>
      <c r="AQ102" s="108"/>
      <c r="AR102" s="108"/>
      <c r="AS102" s="108"/>
      <c r="AT102" s="108"/>
      <c r="AU102" s="108"/>
      <c r="AV102" s="108"/>
      <c r="AW102" s="108"/>
      <c r="AX102" s="108"/>
      <c r="AY102" s="108"/>
      <c r="AZ102" s="108"/>
      <c r="BA102" s="108"/>
      <c r="BB102" s="108"/>
      <c r="BC102" s="108"/>
      <c r="BD102" s="108"/>
      <c r="BE102" s="108"/>
      <c r="BF102" s="108"/>
      <c r="BG102" s="108"/>
      <c r="BH102" s="108"/>
      <c r="BI102" s="108"/>
      <c r="BJ102" s="108"/>
      <c r="BK102" s="108"/>
      <c r="BL102" s="108"/>
      <c r="BM102" s="108"/>
    </row>
    <row r="103" spans="1:65">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c r="AA103" s="108"/>
      <c r="AB103" s="108"/>
      <c r="AC103" s="108"/>
      <c r="AD103" s="108"/>
      <c r="AE103" s="108"/>
      <c r="AF103" s="108"/>
      <c r="AG103" s="108"/>
      <c r="AH103" s="108"/>
      <c r="AI103" s="108"/>
      <c r="AJ103" s="108"/>
      <c r="AK103" s="108"/>
      <c r="AL103" s="108"/>
      <c r="AM103" s="108"/>
      <c r="AN103" s="108"/>
      <c r="AO103" s="108"/>
      <c r="AP103" s="108"/>
      <c r="AQ103" s="108"/>
      <c r="AR103" s="108"/>
      <c r="AS103" s="108"/>
      <c r="AT103" s="108"/>
      <c r="AU103" s="108"/>
      <c r="AV103" s="108"/>
      <c r="AW103" s="108"/>
      <c r="AX103" s="108"/>
      <c r="AY103" s="108"/>
      <c r="AZ103" s="108"/>
      <c r="BA103" s="108"/>
      <c r="BB103" s="108"/>
      <c r="BC103" s="108"/>
      <c r="BD103" s="108"/>
      <c r="BE103" s="108"/>
      <c r="BF103" s="108"/>
      <c r="BG103" s="108"/>
      <c r="BH103" s="108"/>
      <c r="BI103" s="108"/>
      <c r="BJ103" s="108"/>
      <c r="BK103" s="108"/>
      <c r="BL103" s="108"/>
      <c r="BM103" s="108"/>
    </row>
    <row r="104" spans="1:65">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c r="AA104" s="108"/>
      <c r="AB104" s="108"/>
      <c r="AC104" s="108"/>
      <c r="AD104" s="108"/>
      <c r="AE104" s="108"/>
      <c r="AF104" s="108"/>
      <c r="AG104" s="108"/>
      <c r="AH104" s="108"/>
      <c r="AI104" s="108"/>
      <c r="AJ104" s="108"/>
      <c r="AK104" s="108"/>
      <c r="AL104" s="108"/>
      <c r="AM104" s="108"/>
      <c r="AN104" s="108"/>
      <c r="AO104" s="108"/>
      <c r="AP104" s="108"/>
      <c r="AQ104" s="108"/>
      <c r="AR104" s="108"/>
      <c r="AS104" s="108"/>
      <c r="AT104" s="108"/>
      <c r="AU104" s="108"/>
      <c r="AV104" s="108"/>
      <c r="AW104" s="108"/>
      <c r="AX104" s="108"/>
      <c r="AY104" s="108"/>
      <c r="AZ104" s="108"/>
      <c r="BA104" s="108"/>
      <c r="BB104" s="108"/>
      <c r="BC104" s="108"/>
      <c r="BD104" s="108"/>
      <c r="BE104" s="108"/>
      <c r="BF104" s="108"/>
      <c r="BG104" s="108"/>
      <c r="BH104" s="108"/>
      <c r="BI104" s="108"/>
      <c r="BJ104" s="108"/>
      <c r="BK104" s="108"/>
      <c r="BL104" s="108"/>
      <c r="BM104" s="108"/>
    </row>
    <row r="105" spans="1:65">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c r="AA105" s="108"/>
      <c r="AB105" s="108"/>
      <c r="AC105" s="108"/>
      <c r="AD105" s="108"/>
      <c r="AE105" s="108"/>
      <c r="AF105" s="108"/>
      <c r="AG105" s="108"/>
      <c r="AH105" s="108"/>
      <c r="AI105" s="108"/>
      <c r="AJ105" s="108"/>
      <c r="AK105" s="108"/>
      <c r="AL105" s="108"/>
      <c r="AM105" s="108"/>
      <c r="AN105" s="108"/>
      <c r="AO105" s="108"/>
      <c r="AP105" s="108"/>
      <c r="AQ105" s="108"/>
      <c r="AR105" s="108"/>
      <c r="AS105" s="108"/>
      <c r="AT105" s="108"/>
      <c r="AU105" s="108"/>
      <c r="AV105" s="108"/>
      <c r="AW105" s="108"/>
      <c r="AX105" s="108"/>
      <c r="AY105" s="108"/>
      <c r="AZ105" s="108"/>
      <c r="BA105" s="108"/>
      <c r="BB105" s="108"/>
      <c r="BC105" s="108"/>
      <c r="BD105" s="108"/>
      <c r="BE105" s="108"/>
      <c r="BF105" s="108"/>
      <c r="BG105" s="108"/>
      <c r="BH105" s="108"/>
      <c r="BI105" s="108"/>
      <c r="BJ105" s="108"/>
      <c r="BK105" s="108"/>
      <c r="BL105" s="108"/>
      <c r="BM105" s="108"/>
    </row>
    <row r="106" spans="1:65">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c r="AA106" s="108"/>
      <c r="AB106" s="108"/>
      <c r="AC106" s="108"/>
      <c r="AD106" s="108"/>
      <c r="AE106" s="108"/>
      <c r="AF106" s="108"/>
      <c r="AG106" s="108"/>
      <c r="AH106" s="108"/>
      <c r="AI106" s="108"/>
      <c r="AJ106" s="108"/>
      <c r="AK106" s="108"/>
      <c r="AL106" s="108"/>
      <c r="AM106" s="108"/>
      <c r="AN106" s="108"/>
      <c r="AO106" s="108"/>
      <c r="AP106" s="108"/>
      <c r="AQ106" s="108"/>
      <c r="AR106" s="108"/>
      <c r="AS106" s="108"/>
      <c r="AT106" s="108"/>
      <c r="AU106" s="108"/>
      <c r="AV106" s="108"/>
      <c r="AW106" s="108"/>
      <c r="AX106" s="108"/>
      <c r="AY106" s="108"/>
      <c r="AZ106" s="108"/>
      <c r="BA106" s="108"/>
      <c r="BB106" s="108"/>
      <c r="BC106" s="108"/>
      <c r="BD106" s="108"/>
      <c r="BE106" s="108"/>
      <c r="BF106" s="108"/>
      <c r="BG106" s="108"/>
      <c r="BH106" s="108"/>
      <c r="BI106" s="108"/>
      <c r="BJ106" s="108"/>
      <c r="BK106" s="108"/>
      <c r="BL106" s="108"/>
      <c r="BM106" s="108"/>
    </row>
    <row r="107" spans="1:65">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c r="AA107" s="108"/>
      <c r="AB107" s="108"/>
      <c r="AC107" s="108"/>
      <c r="AD107" s="108"/>
      <c r="AE107" s="108"/>
      <c r="AF107" s="108"/>
      <c r="AG107" s="108"/>
      <c r="AH107" s="108"/>
      <c r="AI107" s="108"/>
      <c r="AJ107" s="108"/>
      <c r="AK107" s="108"/>
      <c r="AL107" s="108"/>
      <c r="AM107" s="108"/>
      <c r="AN107" s="108"/>
      <c r="AO107" s="108"/>
      <c r="AP107" s="108"/>
      <c r="AQ107" s="108"/>
      <c r="AR107" s="108"/>
      <c r="AS107" s="108"/>
      <c r="AT107" s="108"/>
      <c r="AU107" s="108"/>
      <c r="AV107" s="108"/>
      <c r="AW107" s="108"/>
      <c r="AX107" s="108"/>
      <c r="AY107" s="108"/>
      <c r="AZ107" s="108"/>
      <c r="BA107" s="108"/>
      <c r="BB107" s="108"/>
      <c r="BC107" s="108"/>
      <c r="BD107" s="108"/>
      <c r="BE107" s="108"/>
      <c r="BF107" s="108"/>
      <c r="BG107" s="108"/>
      <c r="BH107" s="108"/>
      <c r="BI107" s="108"/>
      <c r="BJ107" s="108"/>
      <c r="BK107" s="108"/>
      <c r="BL107" s="108"/>
      <c r="BM107" s="108"/>
    </row>
    <row r="108" spans="1:65">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c r="AA108" s="108"/>
      <c r="AB108" s="108"/>
      <c r="AC108" s="108"/>
      <c r="AD108" s="108"/>
      <c r="AE108" s="108"/>
      <c r="AF108" s="108"/>
      <c r="AG108" s="108"/>
      <c r="AH108" s="108"/>
      <c r="AI108" s="108"/>
      <c r="AJ108" s="108"/>
      <c r="AK108" s="108"/>
      <c r="AL108" s="108"/>
      <c r="AM108" s="108"/>
      <c r="AN108" s="108"/>
      <c r="AO108" s="108"/>
      <c r="AP108" s="108"/>
      <c r="AQ108" s="108"/>
      <c r="AR108" s="108"/>
      <c r="AS108" s="108"/>
      <c r="AT108" s="108"/>
      <c r="AU108" s="108"/>
      <c r="AV108" s="108"/>
      <c r="AW108" s="108"/>
      <c r="AX108" s="108"/>
      <c r="AY108" s="108"/>
      <c r="AZ108" s="108"/>
      <c r="BA108" s="108"/>
      <c r="BB108" s="108"/>
      <c r="BC108" s="108"/>
      <c r="BD108" s="108"/>
      <c r="BE108" s="108"/>
      <c r="BF108" s="108"/>
      <c r="BG108" s="108"/>
      <c r="BH108" s="108"/>
      <c r="BI108" s="108"/>
      <c r="BJ108" s="108"/>
      <c r="BK108" s="108"/>
      <c r="BL108" s="108"/>
      <c r="BM108" s="108"/>
    </row>
    <row r="109" spans="1:65">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c r="AA109" s="108"/>
      <c r="AB109" s="108"/>
      <c r="AC109" s="108"/>
      <c r="AD109" s="108"/>
      <c r="AE109" s="108"/>
      <c r="AF109" s="108"/>
      <c r="AG109" s="108"/>
      <c r="AH109" s="108"/>
      <c r="AI109" s="108"/>
      <c r="AJ109" s="108"/>
      <c r="AK109" s="108"/>
      <c r="AL109" s="108"/>
      <c r="AM109" s="108"/>
      <c r="AN109" s="108"/>
      <c r="AO109" s="108"/>
      <c r="AP109" s="108"/>
      <c r="AQ109" s="108"/>
      <c r="AR109" s="108"/>
      <c r="AS109" s="108"/>
      <c r="AT109" s="108"/>
      <c r="AU109" s="108"/>
      <c r="AV109" s="108"/>
      <c r="AW109" s="108"/>
      <c r="AX109" s="108"/>
      <c r="AY109" s="108"/>
      <c r="AZ109" s="108"/>
      <c r="BA109" s="108"/>
      <c r="BB109" s="108"/>
      <c r="BC109" s="108"/>
      <c r="BD109" s="108"/>
      <c r="BE109" s="108"/>
      <c r="BF109" s="108"/>
      <c r="BG109" s="108"/>
      <c r="BH109" s="108"/>
      <c r="BI109" s="108"/>
      <c r="BJ109" s="108"/>
      <c r="BK109" s="108"/>
      <c r="BL109" s="108"/>
      <c r="BM109" s="108"/>
    </row>
    <row r="110" spans="1:65">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c r="AA110" s="108"/>
      <c r="AB110" s="108"/>
      <c r="AC110" s="108"/>
      <c r="AD110" s="108"/>
      <c r="AE110" s="108"/>
      <c r="AF110" s="108"/>
      <c r="AG110" s="108"/>
      <c r="AH110" s="108"/>
      <c r="AI110" s="108"/>
      <c r="AJ110" s="108"/>
      <c r="AK110" s="108"/>
      <c r="AL110" s="108"/>
      <c r="AM110" s="108"/>
      <c r="AN110" s="108"/>
      <c r="AO110" s="108"/>
      <c r="AP110" s="108"/>
      <c r="AQ110" s="108"/>
      <c r="AR110" s="108"/>
      <c r="AS110" s="108"/>
      <c r="AT110" s="108"/>
      <c r="AU110" s="108"/>
      <c r="AV110" s="108"/>
      <c r="AW110" s="108"/>
      <c r="AX110" s="108"/>
      <c r="AY110" s="108"/>
      <c r="AZ110" s="108"/>
      <c r="BA110" s="108"/>
      <c r="BB110" s="108"/>
      <c r="BC110" s="108"/>
      <c r="BD110" s="108"/>
      <c r="BE110" s="108"/>
      <c r="BF110" s="108"/>
      <c r="BG110" s="108"/>
      <c r="BH110" s="108"/>
      <c r="BI110" s="108"/>
      <c r="BJ110" s="108"/>
      <c r="BK110" s="108"/>
      <c r="BL110" s="108"/>
      <c r="BM110" s="108"/>
    </row>
    <row r="111" spans="1:65">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c r="AA111" s="108"/>
      <c r="AB111" s="108"/>
      <c r="AC111" s="108"/>
      <c r="AD111" s="108"/>
      <c r="AE111" s="108"/>
      <c r="AF111" s="108"/>
      <c r="AG111" s="108"/>
      <c r="AH111" s="108"/>
      <c r="AI111" s="108"/>
      <c r="AJ111" s="108"/>
      <c r="AK111" s="108"/>
      <c r="AL111" s="108"/>
      <c r="AM111" s="108"/>
      <c r="AN111" s="108"/>
      <c r="AO111" s="108"/>
      <c r="AP111" s="108"/>
      <c r="AQ111" s="108"/>
      <c r="AR111" s="108"/>
      <c r="AS111" s="108"/>
      <c r="AT111" s="108"/>
      <c r="AU111" s="108"/>
      <c r="AV111" s="108"/>
      <c r="AW111" s="108"/>
      <c r="AX111" s="108"/>
      <c r="AY111" s="108"/>
      <c r="AZ111" s="108"/>
      <c r="BA111" s="108"/>
      <c r="BB111" s="108"/>
      <c r="BC111" s="108"/>
      <c r="BD111" s="108"/>
      <c r="BE111" s="108"/>
      <c r="BF111" s="108"/>
      <c r="BG111" s="108"/>
      <c r="BH111" s="108"/>
      <c r="BI111" s="108"/>
      <c r="BJ111" s="108"/>
      <c r="BK111" s="108"/>
      <c r="BL111" s="108"/>
      <c r="BM111" s="108"/>
    </row>
    <row r="112" spans="1:65">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c r="AA112" s="108"/>
      <c r="AB112" s="108"/>
      <c r="AC112" s="108"/>
      <c r="AD112" s="108"/>
      <c r="AE112" s="108"/>
      <c r="AF112" s="108"/>
      <c r="AG112" s="108"/>
      <c r="AH112" s="108"/>
      <c r="AI112" s="108"/>
      <c r="AJ112" s="108"/>
      <c r="AK112" s="108"/>
      <c r="AL112" s="108"/>
      <c r="AM112" s="108"/>
      <c r="AN112" s="108"/>
      <c r="AO112" s="108"/>
      <c r="AP112" s="108"/>
      <c r="AQ112" s="108"/>
      <c r="AR112" s="108"/>
      <c r="AS112" s="108"/>
      <c r="AT112" s="108"/>
      <c r="AU112" s="108"/>
      <c r="AV112" s="108"/>
      <c r="AW112" s="108"/>
      <c r="AX112" s="108"/>
      <c r="AY112" s="108"/>
      <c r="AZ112" s="108"/>
      <c r="BA112" s="108"/>
      <c r="BB112" s="108"/>
      <c r="BC112" s="108"/>
      <c r="BD112" s="108"/>
      <c r="BE112" s="108"/>
      <c r="BF112" s="108"/>
      <c r="BG112" s="108"/>
      <c r="BH112" s="108"/>
      <c r="BI112" s="108"/>
      <c r="BJ112" s="108"/>
      <c r="BK112" s="108"/>
      <c r="BL112" s="108"/>
      <c r="BM112" s="108"/>
    </row>
    <row r="113" spans="1:65">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c r="AA113" s="108"/>
      <c r="AB113" s="108"/>
      <c r="AC113" s="108"/>
      <c r="AD113" s="108"/>
      <c r="AE113" s="108"/>
      <c r="AF113" s="108"/>
      <c r="AG113" s="108"/>
      <c r="AH113" s="108"/>
      <c r="AI113" s="108"/>
      <c r="AJ113" s="108"/>
      <c r="AK113" s="108"/>
      <c r="AL113" s="108"/>
      <c r="AM113" s="108"/>
      <c r="AN113" s="108"/>
      <c r="AO113" s="108"/>
      <c r="AP113" s="108"/>
      <c r="AQ113" s="108"/>
      <c r="AR113" s="108"/>
      <c r="AS113" s="108"/>
      <c r="AT113" s="108"/>
      <c r="AU113" s="108"/>
      <c r="AV113" s="108"/>
      <c r="AW113" s="108"/>
      <c r="AX113" s="108"/>
      <c r="AY113" s="108"/>
      <c r="AZ113" s="108"/>
      <c r="BA113" s="108"/>
      <c r="BB113" s="108"/>
      <c r="BC113" s="108"/>
      <c r="BD113" s="108"/>
      <c r="BE113" s="108"/>
      <c r="BF113" s="108"/>
      <c r="BG113" s="108"/>
      <c r="BH113" s="108"/>
      <c r="BI113" s="108"/>
      <c r="BJ113" s="108"/>
      <c r="BK113" s="108"/>
      <c r="BL113" s="108"/>
      <c r="BM113" s="108"/>
    </row>
    <row r="114" spans="1:65">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c r="AA114" s="108"/>
      <c r="AB114" s="108"/>
      <c r="AC114" s="108"/>
      <c r="AD114" s="108"/>
      <c r="AE114" s="108"/>
      <c r="AF114" s="108"/>
      <c r="AG114" s="108"/>
      <c r="AH114" s="108"/>
      <c r="AI114" s="108"/>
      <c r="AJ114" s="108"/>
      <c r="AK114" s="108"/>
      <c r="AL114" s="108"/>
      <c r="AM114" s="108"/>
      <c r="AN114" s="108"/>
      <c r="AO114" s="108"/>
      <c r="AP114" s="108"/>
      <c r="AQ114" s="108"/>
      <c r="AR114" s="108"/>
      <c r="AS114" s="108"/>
      <c r="AT114" s="108"/>
      <c r="AU114" s="108"/>
      <c r="AV114" s="108"/>
      <c r="AW114" s="108"/>
      <c r="AX114" s="108"/>
      <c r="AY114" s="108"/>
      <c r="AZ114" s="108"/>
      <c r="BA114" s="108"/>
      <c r="BB114" s="108"/>
      <c r="BC114" s="108"/>
      <c r="BD114" s="108"/>
      <c r="BE114" s="108"/>
      <c r="BF114" s="108"/>
      <c r="BG114" s="108"/>
      <c r="BH114" s="108"/>
      <c r="BI114" s="108"/>
      <c r="BJ114" s="108"/>
      <c r="BK114" s="108"/>
      <c r="BL114" s="108"/>
      <c r="BM114" s="108"/>
    </row>
    <row r="115" spans="1:65">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c r="AA115" s="108"/>
      <c r="AB115" s="108"/>
      <c r="AC115" s="108"/>
      <c r="AD115" s="108"/>
      <c r="AE115" s="108"/>
      <c r="AF115" s="108"/>
      <c r="AG115" s="108"/>
      <c r="AH115" s="108"/>
      <c r="AI115" s="108"/>
      <c r="AJ115" s="108"/>
      <c r="AK115" s="108"/>
      <c r="AL115" s="108"/>
      <c r="AM115" s="108"/>
      <c r="AN115" s="108"/>
      <c r="AO115" s="108"/>
      <c r="AP115" s="108"/>
      <c r="AQ115" s="108"/>
      <c r="AR115" s="108"/>
      <c r="AS115" s="108"/>
      <c r="AT115" s="108"/>
      <c r="AU115" s="108"/>
      <c r="AV115" s="108"/>
      <c r="AW115" s="108"/>
      <c r="AX115" s="108"/>
      <c r="AY115" s="108"/>
      <c r="AZ115" s="108"/>
      <c r="BA115" s="108"/>
      <c r="BB115" s="108"/>
      <c r="BC115" s="108"/>
      <c r="BD115" s="108"/>
      <c r="BE115" s="108"/>
      <c r="BF115" s="108"/>
      <c r="BG115" s="108"/>
      <c r="BH115" s="108"/>
      <c r="BI115" s="108"/>
      <c r="BJ115" s="108"/>
      <c r="BK115" s="108"/>
      <c r="BL115" s="108"/>
      <c r="BM115" s="108"/>
    </row>
    <row r="116" spans="1:65">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c r="AA116" s="108"/>
      <c r="AB116" s="108"/>
      <c r="AC116" s="108"/>
      <c r="AD116" s="108"/>
      <c r="AE116" s="108"/>
      <c r="AF116" s="108"/>
      <c r="AG116" s="108"/>
      <c r="AH116" s="108"/>
      <c r="AI116" s="108"/>
      <c r="AJ116" s="108"/>
      <c r="AK116" s="108"/>
      <c r="AL116" s="108"/>
      <c r="AM116" s="108"/>
      <c r="AN116" s="108"/>
      <c r="AO116" s="108"/>
      <c r="AP116" s="108"/>
      <c r="AQ116" s="108"/>
      <c r="AR116" s="108"/>
      <c r="AS116" s="108"/>
      <c r="AT116" s="108"/>
      <c r="AU116" s="108"/>
      <c r="AV116" s="108"/>
      <c r="AW116" s="108"/>
      <c r="AX116" s="108"/>
      <c r="AY116" s="108"/>
      <c r="AZ116" s="108"/>
      <c r="BA116" s="108"/>
      <c r="BB116" s="108"/>
      <c r="BC116" s="108"/>
      <c r="BD116" s="108"/>
      <c r="BE116" s="108"/>
      <c r="BF116" s="108"/>
      <c r="BG116" s="108"/>
      <c r="BH116" s="108"/>
      <c r="BI116" s="108"/>
      <c r="BJ116" s="108"/>
      <c r="BK116" s="108"/>
      <c r="BL116" s="108"/>
      <c r="BM116" s="108"/>
    </row>
    <row r="117" spans="1:65">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c r="AA117" s="108"/>
      <c r="AB117" s="108"/>
      <c r="AC117" s="108"/>
      <c r="AD117" s="108"/>
      <c r="AE117" s="108"/>
      <c r="AF117" s="108"/>
      <c r="AG117" s="108"/>
      <c r="AH117" s="108"/>
      <c r="AI117" s="108"/>
      <c r="AJ117" s="108"/>
      <c r="AK117" s="108"/>
      <c r="AL117" s="108"/>
      <c r="AM117" s="108"/>
      <c r="AN117" s="108"/>
      <c r="AO117" s="108"/>
      <c r="AP117" s="108"/>
      <c r="AQ117" s="108"/>
      <c r="AR117" s="108"/>
      <c r="AS117" s="108"/>
      <c r="AT117" s="108"/>
      <c r="AU117" s="108"/>
      <c r="AV117" s="108"/>
      <c r="AW117" s="108"/>
      <c r="AX117" s="108"/>
      <c r="AY117" s="108"/>
      <c r="AZ117" s="108"/>
      <c r="BA117" s="108"/>
      <c r="BB117" s="108"/>
      <c r="BC117" s="108"/>
      <c r="BD117" s="108"/>
      <c r="BE117" s="108"/>
      <c r="BF117" s="108"/>
      <c r="BG117" s="108"/>
      <c r="BH117" s="108"/>
      <c r="BI117" s="108"/>
      <c r="BJ117" s="108"/>
      <c r="BK117" s="108"/>
      <c r="BL117" s="108"/>
      <c r="BM117" s="108"/>
    </row>
    <row r="118" spans="1:65">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c r="AA118" s="108"/>
      <c r="AB118" s="108"/>
      <c r="AC118" s="108"/>
      <c r="AD118" s="108"/>
      <c r="AE118" s="108"/>
      <c r="AF118" s="108"/>
      <c r="AG118" s="108"/>
      <c r="AH118" s="108"/>
      <c r="AI118" s="108"/>
      <c r="AJ118" s="108"/>
      <c r="AK118" s="108"/>
      <c r="AL118" s="108"/>
      <c r="AM118" s="108"/>
      <c r="AN118" s="108"/>
      <c r="AO118" s="108"/>
      <c r="AP118" s="108"/>
      <c r="AQ118" s="108"/>
      <c r="AR118" s="108"/>
      <c r="AS118" s="108"/>
      <c r="AT118" s="108"/>
      <c r="AU118" s="108"/>
      <c r="AV118" s="108"/>
      <c r="AW118" s="108"/>
      <c r="AX118" s="108"/>
      <c r="AY118" s="108"/>
      <c r="AZ118" s="108"/>
      <c r="BA118" s="108"/>
      <c r="BB118" s="108"/>
      <c r="BC118" s="108"/>
      <c r="BD118" s="108"/>
      <c r="BE118" s="108"/>
      <c r="BF118" s="108"/>
      <c r="BG118" s="108"/>
      <c r="BH118" s="108"/>
      <c r="BI118" s="108"/>
      <c r="BJ118" s="108"/>
      <c r="BK118" s="108"/>
      <c r="BL118" s="108"/>
      <c r="BM118" s="108"/>
    </row>
    <row r="119" spans="1:65">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c r="AA119" s="108"/>
      <c r="AB119" s="108"/>
      <c r="AC119" s="108"/>
      <c r="AD119" s="108"/>
      <c r="AE119" s="108"/>
      <c r="AF119" s="108"/>
      <c r="AG119" s="108"/>
      <c r="AH119" s="108"/>
      <c r="AI119" s="108"/>
      <c r="AJ119" s="108"/>
      <c r="AK119" s="108"/>
      <c r="AL119" s="108"/>
      <c r="AM119" s="108"/>
      <c r="AN119" s="108"/>
      <c r="AO119" s="108"/>
      <c r="AP119" s="108"/>
      <c r="AQ119" s="108"/>
      <c r="AR119" s="108"/>
      <c r="AS119" s="108"/>
      <c r="AT119" s="108"/>
      <c r="AU119" s="108"/>
      <c r="AV119" s="108"/>
      <c r="AW119" s="108"/>
      <c r="AX119" s="108"/>
      <c r="AY119" s="108"/>
      <c r="AZ119" s="108"/>
      <c r="BA119" s="108"/>
      <c r="BB119" s="108"/>
      <c r="BC119" s="108"/>
      <c r="BD119" s="108"/>
      <c r="BE119" s="108"/>
      <c r="BF119" s="108"/>
      <c r="BG119" s="108"/>
      <c r="BH119" s="108"/>
      <c r="BI119" s="108"/>
      <c r="BJ119" s="108"/>
      <c r="BK119" s="108"/>
      <c r="BL119" s="108"/>
      <c r="BM119" s="108"/>
    </row>
    <row r="120" spans="1:65">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c r="AA120" s="108"/>
      <c r="AB120" s="108"/>
      <c r="AC120" s="108"/>
      <c r="AD120" s="108"/>
      <c r="AE120" s="108"/>
      <c r="AF120" s="108"/>
      <c r="AG120" s="108"/>
      <c r="AH120" s="108"/>
      <c r="AI120" s="108"/>
      <c r="AJ120" s="108"/>
      <c r="AK120" s="108"/>
      <c r="AL120" s="108"/>
      <c r="AM120" s="108"/>
      <c r="AN120" s="108"/>
      <c r="AO120" s="108"/>
      <c r="AP120" s="108"/>
      <c r="AQ120" s="108"/>
      <c r="AR120" s="108"/>
      <c r="AS120" s="108"/>
      <c r="AT120" s="108"/>
      <c r="AU120" s="108"/>
      <c r="AV120" s="108"/>
      <c r="AW120" s="108"/>
      <c r="AX120" s="108"/>
      <c r="AY120" s="108"/>
      <c r="AZ120" s="108"/>
      <c r="BA120" s="108"/>
      <c r="BB120" s="108"/>
      <c r="BC120" s="108"/>
      <c r="BD120" s="108"/>
      <c r="BE120" s="108"/>
      <c r="BF120" s="108"/>
      <c r="BG120" s="108"/>
      <c r="BH120" s="108"/>
      <c r="BI120" s="108"/>
      <c r="BJ120" s="108"/>
      <c r="BK120" s="108"/>
      <c r="BL120" s="108"/>
      <c r="BM120" s="108"/>
    </row>
    <row r="121" spans="1:65">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c r="AA121" s="108"/>
      <c r="AB121" s="108"/>
      <c r="AC121" s="108"/>
      <c r="AD121" s="108"/>
      <c r="AE121" s="108"/>
      <c r="AF121" s="108"/>
      <c r="AG121" s="108"/>
      <c r="AH121" s="108"/>
      <c r="AI121" s="108"/>
      <c r="AJ121" s="108"/>
      <c r="AK121" s="108"/>
      <c r="AL121" s="108"/>
      <c r="AM121" s="108"/>
      <c r="AN121" s="108"/>
      <c r="AO121" s="108"/>
      <c r="AP121" s="108"/>
      <c r="AQ121" s="108"/>
      <c r="AR121" s="108"/>
      <c r="AS121" s="108"/>
      <c r="AT121" s="108"/>
      <c r="AU121" s="108"/>
      <c r="AV121" s="108"/>
      <c r="AW121" s="108"/>
      <c r="AX121" s="108"/>
      <c r="AY121" s="108"/>
      <c r="AZ121" s="108"/>
      <c r="BA121" s="108"/>
      <c r="BB121" s="108"/>
      <c r="BC121" s="108"/>
      <c r="BD121" s="108"/>
      <c r="BE121" s="108"/>
      <c r="BF121" s="108"/>
      <c r="BG121" s="108"/>
      <c r="BH121" s="108"/>
      <c r="BI121" s="108"/>
      <c r="BJ121" s="108"/>
      <c r="BK121" s="108"/>
      <c r="BL121" s="108"/>
      <c r="BM121" s="108"/>
    </row>
    <row r="122" spans="1:65">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c r="AA122" s="108"/>
      <c r="AB122" s="108"/>
      <c r="AC122" s="108"/>
      <c r="AD122" s="108"/>
      <c r="AE122" s="108"/>
      <c r="AF122" s="108"/>
      <c r="AG122" s="108"/>
      <c r="AH122" s="108"/>
      <c r="AI122" s="108"/>
      <c r="AJ122" s="108"/>
      <c r="AK122" s="108"/>
      <c r="AL122" s="108"/>
      <c r="AM122" s="108"/>
      <c r="AN122" s="108"/>
      <c r="AO122" s="108"/>
      <c r="AP122" s="108"/>
      <c r="AQ122" s="108"/>
      <c r="AR122" s="108"/>
      <c r="AS122" s="108"/>
      <c r="AT122" s="108"/>
      <c r="AU122" s="108"/>
      <c r="AV122" s="108"/>
      <c r="AW122" s="108"/>
      <c r="AX122" s="108"/>
      <c r="AY122" s="108"/>
      <c r="AZ122" s="108"/>
      <c r="BA122" s="108"/>
      <c r="BB122" s="108"/>
      <c r="BC122" s="108"/>
      <c r="BD122" s="108"/>
      <c r="BE122" s="108"/>
      <c r="BF122" s="108"/>
      <c r="BG122" s="108"/>
      <c r="BH122" s="108"/>
      <c r="BI122" s="108"/>
      <c r="BJ122" s="108"/>
      <c r="BK122" s="108"/>
      <c r="BL122" s="108"/>
      <c r="BM122" s="108"/>
    </row>
    <row r="123" spans="1:65">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c r="AA123" s="108"/>
      <c r="AB123" s="108"/>
      <c r="AC123" s="108"/>
      <c r="AD123" s="108"/>
      <c r="AE123" s="108"/>
      <c r="AF123" s="108"/>
      <c r="AG123" s="108"/>
      <c r="AH123" s="108"/>
      <c r="AI123" s="108"/>
      <c r="AJ123" s="108"/>
      <c r="AK123" s="108"/>
      <c r="AL123" s="108"/>
      <c r="AM123" s="108"/>
      <c r="AN123" s="108"/>
      <c r="AO123" s="108"/>
      <c r="AP123" s="108"/>
      <c r="AQ123" s="108"/>
      <c r="AR123" s="108"/>
      <c r="AS123" s="108"/>
      <c r="AT123" s="108"/>
      <c r="AU123" s="108"/>
      <c r="AV123" s="108"/>
      <c r="AW123" s="108"/>
      <c r="AX123" s="108"/>
      <c r="AY123" s="108"/>
      <c r="AZ123" s="108"/>
      <c r="BA123" s="108"/>
      <c r="BB123" s="108"/>
      <c r="BC123" s="108"/>
      <c r="BD123" s="108"/>
      <c r="BE123" s="108"/>
      <c r="BF123" s="108"/>
      <c r="BG123" s="108"/>
      <c r="BH123" s="108"/>
      <c r="BI123" s="108"/>
      <c r="BJ123" s="108"/>
      <c r="BK123" s="108"/>
      <c r="BL123" s="108"/>
      <c r="BM123" s="108"/>
    </row>
    <row r="124" spans="1:65">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c r="AA124" s="108"/>
      <c r="AB124" s="108"/>
      <c r="AC124" s="108"/>
      <c r="AD124" s="108"/>
      <c r="AE124" s="108"/>
      <c r="AF124" s="108"/>
      <c r="AG124" s="108"/>
      <c r="AH124" s="108"/>
      <c r="AI124" s="108"/>
      <c r="AJ124" s="108"/>
      <c r="AK124" s="108"/>
      <c r="AL124" s="108"/>
      <c r="AM124" s="108"/>
      <c r="AN124" s="108"/>
      <c r="AO124" s="108"/>
      <c r="AP124" s="108"/>
      <c r="AQ124" s="108"/>
      <c r="AR124" s="108"/>
      <c r="AS124" s="108"/>
      <c r="AT124" s="108"/>
      <c r="AU124" s="108"/>
      <c r="AV124" s="108"/>
      <c r="AW124" s="108"/>
      <c r="AX124" s="108"/>
      <c r="AY124" s="108"/>
      <c r="AZ124" s="108"/>
      <c r="BA124" s="108"/>
      <c r="BB124" s="108"/>
      <c r="BC124" s="108"/>
      <c r="BD124" s="108"/>
      <c r="BE124" s="108"/>
      <c r="BF124" s="108"/>
      <c r="BG124" s="108"/>
      <c r="BH124" s="108"/>
      <c r="BI124" s="108"/>
      <c r="BJ124" s="108"/>
      <c r="BK124" s="108"/>
      <c r="BL124" s="108"/>
      <c r="BM124" s="108"/>
    </row>
    <row r="125" spans="1:65">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c r="AA125" s="108"/>
      <c r="AB125" s="108"/>
      <c r="AC125" s="108"/>
      <c r="AD125" s="108"/>
      <c r="AE125" s="108"/>
      <c r="AF125" s="108"/>
      <c r="AG125" s="108"/>
      <c r="AH125" s="108"/>
      <c r="AI125" s="108"/>
      <c r="AJ125" s="108"/>
      <c r="AK125" s="108"/>
      <c r="AL125" s="108"/>
      <c r="AM125" s="108"/>
      <c r="AN125" s="108"/>
      <c r="AO125" s="108"/>
      <c r="AP125" s="108"/>
      <c r="AQ125" s="108"/>
      <c r="AR125" s="108"/>
      <c r="AS125" s="108"/>
      <c r="AT125" s="108"/>
      <c r="AU125" s="108"/>
      <c r="AV125" s="108"/>
      <c r="AW125" s="108"/>
      <c r="AX125" s="108"/>
      <c r="AY125" s="108"/>
      <c r="AZ125" s="108"/>
      <c r="BA125" s="108"/>
      <c r="BB125" s="108"/>
      <c r="BC125" s="108"/>
      <c r="BD125" s="108"/>
      <c r="BE125" s="108"/>
      <c r="BF125" s="108"/>
      <c r="BG125" s="108"/>
      <c r="BH125" s="108"/>
      <c r="BI125" s="108"/>
      <c r="BJ125" s="108"/>
      <c r="BK125" s="108"/>
      <c r="BL125" s="108"/>
      <c r="BM125" s="108"/>
    </row>
    <row r="126" spans="1:65">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c r="AA126" s="108"/>
      <c r="AB126" s="108"/>
      <c r="AC126" s="108"/>
      <c r="AD126" s="108"/>
      <c r="AE126" s="108"/>
      <c r="AF126" s="108"/>
      <c r="AG126" s="108"/>
      <c r="AH126" s="108"/>
      <c r="AI126" s="108"/>
      <c r="AJ126" s="108"/>
      <c r="AK126" s="108"/>
      <c r="AL126" s="108"/>
      <c r="AM126" s="108"/>
      <c r="AN126" s="108"/>
      <c r="AO126" s="108"/>
      <c r="AP126" s="108"/>
      <c r="AQ126" s="108"/>
      <c r="AR126" s="108"/>
      <c r="AS126" s="108"/>
      <c r="AT126" s="108"/>
      <c r="AU126" s="108"/>
      <c r="AV126" s="108"/>
      <c r="AW126" s="108"/>
      <c r="AX126" s="108"/>
      <c r="AY126" s="108"/>
      <c r="AZ126" s="108"/>
      <c r="BA126" s="108"/>
      <c r="BB126" s="108"/>
      <c r="BC126" s="108"/>
      <c r="BD126" s="108"/>
      <c r="BE126" s="108"/>
      <c r="BF126" s="108"/>
      <c r="BG126" s="108"/>
      <c r="BH126" s="108"/>
      <c r="BI126" s="108"/>
      <c r="BJ126" s="108"/>
      <c r="BK126" s="108"/>
      <c r="BL126" s="108"/>
      <c r="BM126" s="108"/>
    </row>
    <row r="127" spans="1:65">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c r="AA127" s="108"/>
      <c r="AB127" s="108"/>
      <c r="AC127" s="108"/>
      <c r="AD127" s="108"/>
      <c r="AE127" s="108"/>
      <c r="AF127" s="108"/>
      <c r="AG127" s="108"/>
      <c r="AH127" s="108"/>
      <c r="AI127" s="108"/>
      <c r="AJ127" s="108"/>
      <c r="AK127" s="108"/>
      <c r="AL127" s="108"/>
      <c r="AM127" s="108"/>
      <c r="AN127" s="108"/>
      <c r="AO127" s="108"/>
      <c r="AP127" s="108"/>
      <c r="AQ127" s="108"/>
      <c r="AR127" s="108"/>
      <c r="AS127" s="108"/>
      <c r="AT127" s="108"/>
      <c r="AU127" s="108"/>
      <c r="AV127" s="108"/>
      <c r="AW127" s="108"/>
      <c r="AX127" s="108"/>
      <c r="AY127" s="108"/>
      <c r="AZ127" s="108"/>
      <c r="BA127" s="108"/>
      <c r="BB127" s="108"/>
      <c r="BC127" s="108"/>
      <c r="BD127" s="108"/>
      <c r="BE127" s="108"/>
      <c r="BF127" s="108"/>
      <c r="BG127" s="108"/>
      <c r="BH127" s="108"/>
      <c r="BI127" s="108"/>
      <c r="BJ127" s="108"/>
      <c r="BK127" s="108"/>
      <c r="BL127" s="108"/>
      <c r="BM127" s="108"/>
    </row>
    <row r="128" spans="1:65">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c r="AA128" s="108"/>
      <c r="AB128" s="108"/>
      <c r="AC128" s="108"/>
      <c r="AD128" s="108"/>
      <c r="AE128" s="108"/>
      <c r="AF128" s="108"/>
      <c r="AG128" s="108"/>
      <c r="AH128" s="108"/>
      <c r="AI128" s="108"/>
      <c r="AJ128" s="108"/>
      <c r="AK128" s="108"/>
      <c r="AL128" s="108"/>
      <c r="AM128" s="108"/>
      <c r="AN128" s="108"/>
      <c r="AO128" s="108"/>
      <c r="AP128" s="108"/>
      <c r="AQ128" s="108"/>
      <c r="AR128" s="108"/>
      <c r="AS128" s="108"/>
      <c r="AT128" s="108"/>
      <c r="AU128" s="108"/>
      <c r="AV128" s="108"/>
      <c r="AW128" s="108"/>
      <c r="AX128" s="108"/>
      <c r="AY128" s="108"/>
      <c r="AZ128" s="108"/>
      <c r="BA128" s="108"/>
      <c r="BB128" s="108"/>
      <c r="BC128" s="108"/>
      <c r="BD128" s="108"/>
      <c r="BE128" s="108"/>
      <c r="BF128" s="108"/>
      <c r="BG128" s="108"/>
      <c r="BH128" s="108"/>
      <c r="BI128" s="108"/>
      <c r="BJ128" s="108"/>
      <c r="BK128" s="108"/>
      <c r="BL128" s="108"/>
      <c r="BM128" s="108"/>
    </row>
    <row r="129" spans="1:65">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c r="AA129" s="108"/>
      <c r="AB129" s="108"/>
      <c r="AC129" s="108"/>
      <c r="AD129" s="108"/>
      <c r="AE129" s="108"/>
      <c r="AF129" s="108"/>
      <c r="AG129" s="108"/>
      <c r="AH129" s="108"/>
      <c r="AI129" s="108"/>
      <c r="AJ129" s="108"/>
      <c r="AK129" s="108"/>
      <c r="AL129" s="108"/>
      <c r="AM129" s="108"/>
      <c r="AN129" s="108"/>
      <c r="AO129" s="108"/>
      <c r="AP129" s="108"/>
      <c r="AQ129" s="108"/>
      <c r="AR129" s="108"/>
      <c r="AS129" s="108"/>
      <c r="AT129" s="108"/>
      <c r="AU129" s="108"/>
      <c r="AV129" s="108"/>
      <c r="AW129" s="108"/>
      <c r="AX129" s="108"/>
      <c r="AY129" s="108"/>
      <c r="AZ129" s="108"/>
      <c r="BA129" s="108"/>
      <c r="BB129" s="108"/>
      <c r="BC129" s="108"/>
      <c r="BD129" s="108"/>
      <c r="BE129" s="108"/>
      <c r="BF129" s="108"/>
      <c r="BG129" s="108"/>
      <c r="BH129" s="108"/>
      <c r="BI129" s="108"/>
      <c r="BJ129" s="108"/>
      <c r="BK129" s="108"/>
      <c r="BL129" s="108"/>
      <c r="BM129" s="108"/>
    </row>
    <row r="130" spans="1:65">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c r="AA130" s="108"/>
      <c r="AB130" s="108"/>
      <c r="AC130" s="108"/>
      <c r="AD130" s="108"/>
      <c r="AE130" s="108"/>
      <c r="AF130" s="108"/>
      <c r="AG130" s="108"/>
      <c r="AH130" s="108"/>
      <c r="AI130" s="108"/>
      <c r="AJ130" s="108"/>
      <c r="AK130" s="108"/>
      <c r="AL130" s="108"/>
      <c r="AM130" s="108"/>
      <c r="AN130" s="108"/>
      <c r="AO130" s="108"/>
      <c r="AP130" s="108"/>
      <c r="AQ130" s="108"/>
      <c r="AR130" s="108"/>
      <c r="AS130" s="108"/>
      <c r="AT130" s="108"/>
      <c r="AU130" s="108"/>
      <c r="AV130" s="108"/>
      <c r="AW130" s="108"/>
      <c r="AX130" s="108"/>
      <c r="AY130" s="108"/>
      <c r="AZ130" s="108"/>
      <c r="BA130" s="108"/>
      <c r="BB130" s="108"/>
      <c r="BC130" s="108"/>
      <c r="BD130" s="108"/>
      <c r="BE130" s="108"/>
      <c r="BF130" s="108"/>
      <c r="BG130" s="108"/>
      <c r="BH130" s="108"/>
      <c r="BI130" s="108"/>
      <c r="BJ130" s="108"/>
      <c r="BK130" s="108"/>
      <c r="BL130" s="108"/>
      <c r="BM130" s="108"/>
    </row>
    <row r="131" spans="1:65">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c r="AA131" s="108"/>
      <c r="AB131" s="108"/>
      <c r="AC131" s="108"/>
      <c r="AD131" s="108"/>
      <c r="AE131" s="108"/>
      <c r="AF131" s="108"/>
      <c r="AG131" s="108"/>
      <c r="AH131" s="108"/>
      <c r="AI131" s="108"/>
      <c r="AJ131" s="108"/>
      <c r="AK131" s="108"/>
      <c r="AL131" s="108"/>
      <c r="AM131" s="108"/>
      <c r="AN131" s="108"/>
      <c r="AO131" s="108"/>
      <c r="AP131" s="108"/>
      <c r="AQ131" s="108"/>
      <c r="AR131" s="108"/>
      <c r="AS131" s="108"/>
      <c r="AT131" s="108"/>
      <c r="AU131" s="108"/>
      <c r="AV131" s="108"/>
      <c r="AW131" s="108"/>
      <c r="AX131" s="108"/>
      <c r="AY131" s="108"/>
      <c r="AZ131" s="108"/>
      <c r="BA131" s="108"/>
      <c r="BB131" s="108"/>
      <c r="BC131" s="108"/>
      <c r="BD131" s="108"/>
      <c r="BE131" s="108"/>
      <c r="BF131" s="108"/>
      <c r="BG131" s="108"/>
      <c r="BH131" s="108"/>
      <c r="BI131" s="108"/>
      <c r="BJ131" s="108"/>
      <c r="BK131" s="108"/>
      <c r="BL131" s="108"/>
      <c r="BM131" s="108"/>
    </row>
    <row r="132" spans="1:65">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c r="AA132" s="108"/>
      <c r="AB132" s="108"/>
      <c r="AC132" s="108"/>
      <c r="AD132" s="108"/>
      <c r="AE132" s="108"/>
      <c r="AF132" s="108"/>
      <c r="AG132" s="108"/>
      <c r="AH132" s="108"/>
      <c r="AI132" s="108"/>
      <c r="AJ132" s="108"/>
      <c r="AK132" s="108"/>
      <c r="AL132" s="108"/>
      <c r="AM132" s="108"/>
      <c r="AN132" s="108"/>
      <c r="AO132" s="108"/>
      <c r="AP132" s="108"/>
      <c r="AQ132" s="108"/>
      <c r="AR132" s="108"/>
      <c r="AS132" s="108"/>
      <c r="AT132" s="108"/>
      <c r="AU132" s="108"/>
      <c r="AV132" s="108"/>
      <c r="AW132" s="108"/>
      <c r="AX132" s="108"/>
      <c r="AY132" s="108"/>
      <c r="AZ132" s="108"/>
      <c r="BA132" s="108"/>
      <c r="BB132" s="108"/>
      <c r="BC132" s="108"/>
      <c r="BD132" s="108"/>
      <c r="BE132" s="108"/>
      <c r="BF132" s="108"/>
      <c r="BG132" s="108"/>
      <c r="BH132" s="108"/>
      <c r="BI132" s="108"/>
      <c r="BJ132" s="108"/>
      <c r="BK132" s="108"/>
      <c r="BL132" s="108"/>
      <c r="BM132" s="108"/>
    </row>
    <row r="133" spans="1:65">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c r="AA133" s="108"/>
      <c r="AB133" s="108"/>
      <c r="AC133" s="108"/>
      <c r="AD133" s="108"/>
      <c r="AE133" s="108"/>
      <c r="AF133" s="108"/>
      <c r="AG133" s="108"/>
      <c r="AH133" s="108"/>
      <c r="AI133" s="108"/>
      <c r="AJ133" s="108"/>
      <c r="AK133" s="108"/>
      <c r="AL133" s="108"/>
      <c r="AM133" s="108"/>
      <c r="AN133" s="108"/>
      <c r="AO133" s="108"/>
      <c r="AP133" s="108"/>
      <c r="AQ133" s="108"/>
      <c r="AR133" s="108"/>
      <c r="AS133" s="108"/>
      <c r="AT133" s="108"/>
      <c r="AU133" s="108"/>
      <c r="AV133" s="108"/>
      <c r="AW133" s="108"/>
      <c r="AX133" s="108"/>
      <c r="AY133" s="108"/>
      <c r="AZ133" s="108"/>
      <c r="BA133" s="108"/>
      <c r="BB133" s="108"/>
      <c r="BC133" s="108"/>
      <c r="BD133" s="108"/>
      <c r="BE133" s="108"/>
      <c r="BF133" s="108"/>
      <c r="BG133" s="108"/>
      <c r="BH133" s="108"/>
      <c r="BI133" s="108"/>
      <c r="BJ133" s="108"/>
      <c r="BK133" s="108"/>
      <c r="BL133" s="108"/>
      <c r="BM133" s="108"/>
    </row>
    <row r="134" spans="1:65">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c r="AA134" s="108"/>
      <c r="AB134" s="108"/>
      <c r="AC134" s="108"/>
      <c r="AD134" s="108"/>
      <c r="AE134" s="108"/>
      <c r="AF134" s="108"/>
      <c r="AG134" s="108"/>
      <c r="AH134" s="108"/>
      <c r="AI134" s="108"/>
      <c r="AJ134" s="108"/>
      <c r="AK134" s="108"/>
      <c r="AL134" s="108"/>
      <c r="AM134" s="108"/>
      <c r="AN134" s="108"/>
      <c r="AO134" s="108"/>
      <c r="AP134" s="108"/>
      <c r="AQ134" s="108"/>
      <c r="AR134" s="108"/>
      <c r="AS134" s="108"/>
      <c r="AT134" s="108"/>
      <c r="AU134" s="108"/>
      <c r="AV134" s="108"/>
      <c r="AW134" s="108"/>
      <c r="AX134" s="108"/>
      <c r="AY134" s="108"/>
      <c r="AZ134" s="108"/>
      <c r="BA134" s="108"/>
      <c r="BB134" s="108"/>
      <c r="BC134" s="108"/>
      <c r="BD134" s="108"/>
      <c r="BE134" s="108"/>
      <c r="BF134" s="108"/>
      <c r="BG134" s="108"/>
      <c r="BH134" s="108"/>
      <c r="BI134" s="108"/>
      <c r="BJ134" s="108"/>
      <c r="BK134" s="108"/>
      <c r="BL134" s="108"/>
      <c r="BM134" s="108"/>
    </row>
    <row r="135" spans="1:65">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c r="AA135" s="108"/>
      <c r="AB135" s="108"/>
      <c r="AC135" s="108"/>
      <c r="AD135" s="108"/>
      <c r="AE135" s="108"/>
      <c r="AF135" s="108"/>
      <c r="AG135" s="108"/>
      <c r="AH135" s="108"/>
      <c r="AI135" s="108"/>
      <c r="AJ135" s="108"/>
      <c r="AK135" s="108"/>
      <c r="AL135" s="108"/>
      <c r="AM135" s="108"/>
      <c r="AN135" s="108"/>
      <c r="AO135" s="108"/>
      <c r="AP135" s="108"/>
      <c r="AQ135" s="108"/>
      <c r="AR135" s="108"/>
      <c r="AS135" s="108"/>
      <c r="AT135" s="108"/>
      <c r="AU135" s="108"/>
      <c r="AV135" s="108"/>
      <c r="AW135" s="108"/>
      <c r="AX135" s="108"/>
      <c r="AY135" s="108"/>
      <c r="AZ135" s="108"/>
      <c r="BA135" s="108"/>
      <c r="BB135" s="108"/>
      <c r="BC135" s="108"/>
      <c r="BD135" s="108"/>
      <c r="BE135" s="108"/>
      <c r="BF135" s="108"/>
      <c r="BG135" s="108"/>
      <c r="BH135" s="108"/>
      <c r="BI135" s="108"/>
      <c r="BJ135" s="108"/>
      <c r="BK135" s="108"/>
      <c r="BL135" s="108"/>
      <c r="BM135" s="108"/>
    </row>
    <row r="136" spans="1:65">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c r="AA136" s="108"/>
      <c r="AB136" s="108"/>
      <c r="AC136" s="108"/>
      <c r="AD136" s="108"/>
      <c r="AE136" s="108"/>
      <c r="AF136" s="108"/>
      <c r="AG136" s="108"/>
      <c r="AH136" s="108"/>
      <c r="AI136" s="108"/>
      <c r="AJ136" s="108"/>
      <c r="AK136" s="108"/>
      <c r="AL136" s="108"/>
      <c r="AM136" s="108"/>
      <c r="AN136" s="108"/>
      <c r="AO136" s="108"/>
      <c r="AP136" s="108"/>
      <c r="AQ136" s="108"/>
      <c r="AR136" s="108"/>
      <c r="AS136" s="108"/>
      <c r="AT136" s="108"/>
      <c r="AU136" s="108"/>
      <c r="AV136" s="108"/>
      <c r="AW136" s="108"/>
      <c r="AX136" s="108"/>
      <c r="AY136" s="108"/>
      <c r="AZ136" s="108"/>
      <c r="BA136" s="108"/>
      <c r="BB136" s="108"/>
      <c r="BC136" s="108"/>
      <c r="BD136" s="108"/>
      <c r="BE136" s="108"/>
      <c r="BF136" s="108"/>
      <c r="BG136" s="108"/>
      <c r="BH136" s="108"/>
      <c r="BI136" s="108"/>
      <c r="BJ136" s="108"/>
      <c r="BK136" s="108"/>
      <c r="BL136" s="108"/>
      <c r="BM136" s="108"/>
    </row>
    <row r="137" spans="1:65">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c r="AA137" s="108"/>
      <c r="AB137" s="108"/>
      <c r="AC137" s="108"/>
      <c r="AD137" s="108"/>
      <c r="AE137" s="108"/>
      <c r="AF137" s="108"/>
      <c r="AG137" s="108"/>
      <c r="AH137" s="108"/>
      <c r="AI137" s="108"/>
      <c r="AJ137" s="108"/>
      <c r="AK137" s="108"/>
      <c r="AL137" s="108"/>
      <c r="AM137" s="108"/>
      <c r="AN137" s="108"/>
      <c r="AO137" s="108"/>
      <c r="AP137" s="108"/>
      <c r="AQ137" s="108"/>
      <c r="AR137" s="108"/>
      <c r="AS137" s="108"/>
      <c r="AT137" s="108"/>
      <c r="AU137" s="108"/>
      <c r="AV137" s="108"/>
      <c r="AW137" s="108"/>
      <c r="AX137" s="108"/>
      <c r="AY137" s="108"/>
      <c r="AZ137" s="108"/>
      <c r="BA137" s="108"/>
      <c r="BB137" s="108"/>
      <c r="BC137" s="108"/>
      <c r="BD137" s="108"/>
      <c r="BE137" s="108"/>
      <c r="BF137" s="108"/>
      <c r="BG137" s="108"/>
      <c r="BH137" s="108"/>
      <c r="BI137" s="108"/>
      <c r="BJ137" s="108"/>
      <c r="BK137" s="108"/>
      <c r="BL137" s="108"/>
      <c r="BM137" s="108"/>
    </row>
    <row r="138" spans="1:65">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c r="AA138" s="108"/>
      <c r="AB138" s="108"/>
      <c r="AC138" s="108"/>
      <c r="AD138" s="108"/>
      <c r="AE138" s="108"/>
      <c r="AF138" s="108"/>
      <c r="AG138" s="108"/>
      <c r="AH138" s="108"/>
      <c r="AI138" s="108"/>
      <c r="AJ138" s="108"/>
      <c r="AK138" s="108"/>
      <c r="AL138" s="108"/>
      <c r="AM138" s="108"/>
      <c r="AN138" s="108"/>
      <c r="AO138" s="108"/>
      <c r="AP138" s="108"/>
      <c r="AQ138" s="108"/>
      <c r="AR138" s="108"/>
      <c r="AS138" s="108"/>
      <c r="AT138" s="108"/>
      <c r="AU138" s="108"/>
      <c r="AV138" s="108"/>
      <c r="AW138" s="108"/>
      <c r="AX138" s="108"/>
      <c r="AY138" s="108"/>
      <c r="AZ138" s="108"/>
      <c r="BA138" s="108"/>
      <c r="BB138" s="108"/>
      <c r="BC138" s="108"/>
      <c r="BD138" s="108"/>
      <c r="BE138" s="108"/>
      <c r="BF138" s="108"/>
      <c r="BG138" s="108"/>
      <c r="BH138" s="108"/>
      <c r="BI138" s="108"/>
      <c r="BJ138" s="108"/>
      <c r="BK138" s="108"/>
      <c r="BL138" s="108"/>
      <c r="BM138" s="108"/>
    </row>
    <row r="139" spans="1:65">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c r="AA139" s="108"/>
      <c r="AB139" s="108"/>
      <c r="AC139" s="108"/>
      <c r="AD139" s="108"/>
      <c r="AE139" s="108"/>
      <c r="AF139" s="108"/>
      <c r="AG139" s="108"/>
      <c r="AH139" s="108"/>
      <c r="AI139" s="108"/>
      <c r="AJ139" s="108"/>
      <c r="AK139" s="108"/>
      <c r="AL139" s="108"/>
      <c r="AM139" s="108"/>
      <c r="AN139" s="108"/>
      <c r="AO139" s="108"/>
      <c r="AP139" s="108"/>
      <c r="AQ139" s="108"/>
      <c r="AR139" s="108"/>
      <c r="AS139" s="108"/>
      <c r="AT139" s="108"/>
      <c r="AU139" s="108"/>
      <c r="AV139" s="108"/>
      <c r="AW139" s="108"/>
      <c r="AX139" s="108"/>
      <c r="AY139" s="108"/>
      <c r="AZ139" s="108"/>
      <c r="BA139" s="108"/>
      <c r="BB139" s="108"/>
      <c r="BC139" s="108"/>
      <c r="BD139" s="108"/>
      <c r="BE139" s="108"/>
      <c r="BF139" s="108"/>
      <c r="BG139" s="108"/>
      <c r="BH139" s="108"/>
      <c r="BI139" s="108"/>
      <c r="BJ139" s="108"/>
      <c r="BK139" s="108"/>
      <c r="BL139" s="108"/>
      <c r="BM139" s="108"/>
    </row>
    <row r="140" spans="1:65">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c r="AA140" s="108"/>
      <c r="AB140" s="108"/>
      <c r="AC140" s="108"/>
      <c r="AD140" s="108"/>
      <c r="AE140" s="108"/>
      <c r="AF140" s="108"/>
      <c r="AG140" s="108"/>
      <c r="AH140" s="108"/>
      <c r="AI140" s="108"/>
      <c r="AJ140" s="108"/>
      <c r="AK140" s="108"/>
      <c r="AL140" s="108"/>
      <c r="AM140" s="108"/>
      <c r="AN140" s="108"/>
      <c r="AO140" s="108"/>
      <c r="AP140" s="108"/>
      <c r="AQ140" s="108"/>
      <c r="AR140" s="108"/>
      <c r="AS140" s="108"/>
      <c r="AT140" s="108"/>
      <c r="AU140" s="108"/>
      <c r="AV140" s="108"/>
      <c r="AW140" s="108"/>
      <c r="AX140" s="108"/>
      <c r="AY140" s="108"/>
      <c r="AZ140" s="108"/>
      <c r="BA140" s="108"/>
      <c r="BB140" s="108"/>
      <c r="BC140" s="108"/>
      <c r="BD140" s="108"/>
      <c r="BE140" s="108"/>
      <c r="BF140" s="108"/>
      <c r="BG140" s="108"/>
      <c r="BH140" s="108"/>
      <c r="BI140" s="108"/>
      <c r="BJ140" s="108"/>
      <c r="BK140" s="108"/>
      <c r="BL140" s="108"/>
      <c r="BM140" s="108"/>
    </row>
    <row r="141" spans="1:65">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c r="AA141" s="108"/>
      <c r="AB141" s="108"/>
      <c r="AC141" s="108"/>
      <c r="AD141" s="108"/>
      <c r="AE141" s="108"/>
      <c r="AF141" s="108"/>
      <c r="AG141" s="108"/>
      <c r="AH141" s="108"/>
      <c r="AI141" s="108"/>
      <c r="AJ141" s="108"/>
      <c r="AK141" s="108"/>
      <c r="AL141" s="108"/>
      <c r="AM141" s="108"/>
      <c r="AN141" s="108"/>
      <c r="AO141" s="108"/>
      <c r="AP141" s="108"/>
      <c r="AQ141" s="108"/>
      <c r="AR141" s="108"/>
      <c r="AS141" s="108"/>
      <c r="AT141" s="108"/>
      <c r="AU141" s="108"/>
      <c r="AV141" s="108"/>
      <c r="AW141" s="108"/>
      <c r="AX141" s="108"/>
      <c r="AY141" s="108"/>
      <c r="AZ141" s="108"/>
      <c r="BA141" s="108"/>
      <c r="BB141" s="108"/>
      <c r="BC141" s="108"/>
      <c r="BD141" s="108"/>
      <c r="BE141" s="108"/>
      <c r="BF141" s="108"/>
      <c r="BG141" s="108"/>
      <c r="BH141" s="108"/>
      <c r="BI141" s="108"/>
      <c r="BJ141" s="108"/>
      <c r="BK141" s="108"/>
      <c r="BL141" s="108"/>
      <c r="BM141" s="108"/>
    </row>
    <row r="142" spans="1:65">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c r="AA142" s="108"/>
      <c r="AB142" s="108"/>
      <c r="AC142" s="108"/>
      <c r="AD142" s="108"/>
      <c r="AE142" s="108"/>
      <c r="AF142" s="108"/>
      <c r="AG142" s="108"/>
      <c r="AH142" s="108"/>
      <c r="AI142" s="108"/>
      <c r="AJ142" s="108"/>
      <c r="AK142" s="108"/>
      <c r="AL142" s="108"/>
      <c r="AM142" s="108"/>
      <c r="AN142" s="108"/>
      <c r="AO142" s="108"/>
      <c r="AP142" s="108"/>
      <c r="AQ142" s="108"/>
      <c r="AR142" s="108"/>
      <c r="AS142" s="108"/>
      <c r="AT142" s="108"/>
      <c r="AU142" s="108"/>
      <c r="AV142" s="108"/>
      <c r="AW142" s="108"/>
      <c r="AX142" s="108"/>
      <c r="AY142" s="108"/>
      <c r="AZ142" s="108"/>
      <c r="BA142" s="108"/>
      <c r="BB142" s="108"/>
      <c r="BC142" s="108"/>
      <c r="BD142" s="108"/>
      <c r="BE142" s="108"/>
      <c r="BF142" s="108"/>
      <c r="BG142" s="108"/>
      <c r="BH142" s="108"/>
      <c r="BI142" s="108"/>
      <c r="BJ142" s="108"/>
      <c r="BK142" s="108"/>
      <c r="BL142" s="108"/>
      <c r="BM142" s="108"/>
    </row>
    <row r="143" spans="1:65">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c r="AA143" s="108"/>
      <c r="AB143" s="108"/>
      <c r="AC143" s="108"/>
      <c r="AD143" s="108"/>
      <c r="AE143" s="108"/>
      <c r="AF143" s="108"/>
      <c r="AG143" s="108"/>
      <c r="AH143" s="108"/>
      <c r="AI143" s="108"/>
      <c r="AJ143" s="108"/>
      <c r="AK143" s="108"/>
      <c r="AL143" s="108"/>
      <c r="AM143" s="108"/>
      <c r="AN143" s="108"/>
      <c r="AO143" s="108"/>
      <c r="AP143" s="108"/>
      <c r="AQ143" s="108"/>
      <c r="AR143" s="108"/>
      <c r="AS143" s="108"/>
      <c r="AT143" s="108"/>
      <c r="AU143" s="108"/>
      <c r="AV143" s="108"/>
      <c r="AW143" s="108"/>
      <c r="AX143" s="108"/>
      <c r="AY143" s="108"/>
      <c r="AZ143" s="108"/>
      <c r="BA143" s="108"/>
      <c r="BB143" s="108"/>
      <c r="BC143" s="108"/>
      <c r="BD143" s="108"/>
      <c r="BE143" s="108"/>
      <c r="BF143" s="108"/>
      <c r="BG143" s="108"/>
      <c r="BH143" s="108"/>
      <c r="BI143" s="108"/>
      <c r="BJ143" s="108"/>
      <c r="BK143" s="108"/>
      <c r="BL143" s="108"/>
      <c r="BM143" s="108"/>
    </row>
    <row r="144" spans="1:65">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c r="AA144" s="108"/>
      <c r="AB144" s="108"/>
      <c r="AC144" s="108"/>
      <c r="AD144" s="108"/>
      <c r="AE144" s="108"/>
      <c r="AF144" s="108"/>
      <c r="AG144" s="108"/>
      <c r="AH144" s="108"/>
      <c r="AI144" s="108"/>
      <c r="AJ144" s="108"/>
      <c r="AK144" s="108"/>
      <c r="AL144" s="108"/>
      <c r="AM144" s="108"/>
      <c r="AN144" s="108"/>
      <c r="AO144" s="108"/>
      <c r="AP144" s="108"/>
      <c r="AQ144" s="108"/>
      <c r="AR144" s="108"/>
      <c r="AS144" s="108"/>
      <c r="AT144" s="108"/>
      <c r="AU144" s="108"/>
      <c r="AV144" s="108"/>
      <c r="AW144" s="108"/>
      <c r="AX144" s="108"/>
      <c r="AY144" s="108"/>
      <c r="AZ144" s="108"/>
      <c r="BA144" s="108"/>
      <c r="BB144" s="108"/>
      <c r="BC144" s="108"/>
      <c r="BD144" s="108"/>
      <c r="BE144" s="108"/>
      <c r="BF144" s="108"/>
      <c r="BG144" s="108"/>
      <c r="BH144" s="108"/>
      <c r="BI144" s="108"/>
      <c r="BJ144" s="108"/>
      <c r="BK144" s="108"/>
      <c r="BL144" s="108"/>
      <c r="BM144" s="108"/>
    </row>
    <row r="145" spans="1:65">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c r="AA145" s="108"/>
      <c r="AB145" s="108"/>
      <c r="AC145" s="108"/>
      <c r="AD145" s="108"/>
      <c r="AE145" s="108"/>
      <c r="AF145" s="108"/>
      <c r="AG145" s="108"/>
      <c r="AH145" s="108"/>
      <c r="AI145" s="108"/>
      <c r="AJ145" s="108"/>
      <c r="AK145" s="108"/>
      <c r="AL145" s="108"/>
      <c r="AM145" s="108"/>
      <c r="AN145" s="108"/>
      <c r="AO145" s="108"/>
      <c r="AP145" s="108"/>
      <c r="AQ145" s="108"/>
      <c r="AR145" s="108"/>
      <c r="AS145" s="108"/>
      <c r="AT145" s="108"/>
      <c r="AU145" s="108"/>
      <c r="AV145" s="108"/>
      <c r="AW145" s="108"/>
      <c r="AX145" s="108"/>
      <c r="AY145" s="108"/>
      <c r="AZ145" s="108"/>
      <c r="BA145" s="108"/>
      <c r="BB145" s="108"/>
      <c r="BC145" s="108"/>
      <c r="BD145" s="108"/>
      <c r="BE145" s="108"/>
      <c r="BF145" s="108"/>
      <c r="BG145" s="108"/>
      <c r="BH145" s="108"/>
      <c r="BI145" s="108"/>
      <c r="BJ145" s="108"/>
      <c r="BK145" s="108"/>
      <c r="BL145" s="108"/>
      <c r="BM145" s="108"/>
    </row>
    <row r="146" spans="1:65">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c r="AA146" s="108"/>
      <c r="AB146" s="108"/>
      <c r="AC146" s="108"/>
      <c r="AD146" s="108"/>
      <c r="AE146" s="108"/>
      <c r="AF146" s="108"/>
      <c r="AG146" s="108"/>
      <c r="AH146" s="108"/>
      <c r="AI146" s="108"/>
      <c r="AJ146" s="108"/>
      <c r="AK146" s="108"/>
      <c r="AL146" s="108"/>
      <c r="AM146" s="108"/>
      <c r="AN146" s="108"/>
      <c r="AO146" s="108"/>
      <c r="AP146" s="108"/>
      <c r="AQ146" s="108"/>
      <c r="AR146" s="108"/>
      <c r="AS146" s="108"/>
      <c r="AT146" s="108"/>
      <c r="AU146" s="108"/>
      <c r="AV146" s="108"/>
      <c r="AW146" s="108"/>
      <c r="AX146" s="108"/>
      <c r="AY146" s="108"/>
      <c r="AZ146" s="108"/>
      <c r="BA146" s="108"/>
      <c r="BB146" s="108"/>
      <c r="BC146" s="108"/>
      <c r="BD146" s="108"/>
      <c r="BE146" s="108"/>
      <c r="BF146" s="108"/>
      <c r="BG146" s="108"/>
      <c r="BH146" s="108"/>
      <c r="BI146" s="108"/>
      <c r="BJ146" s="108"/>
      <c r="BK146" s="108"/>
      <c r="BL146" s="108"/>
      <c r="BM146" s="108"/>
    </row>
    <row r="147" spans="1:65">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c r="AA147" s="108"/>
      <c r="AB147" s="108"/>
      <c r="AC147" s="108"/>
      <c r="AD147" s="108"/>
      <c r="AE147" s="108"/>
      <c r="AF147" s="108"/>
      <c r="AG147" s="108"/>
      <c r="AH147" s="108"/>
      <c r="AI147" s="108"/>
      <c r="AJ147" s="108"/>
      <c r="AK147" s="108"/>
      <c r="AL147" s="108"/>
      <c r="AM147" s="108"/>
      <c r="AN147" s="108"/>
      <c r="AO147" s="108"/>
      <c r="AP147" s="108"/>
      <c r="AQ147" s="108"/>
      <c r="AR147" s="108"/>
      <c r="AS147" s="108"/>
      <c r="AT147" s="108"/>
      <c r="AU147" s="108"/>
      <c r="AV147" s="108"/>
      <c r="AW147" s="108"/>
      <c r="AX147" s="108"/>
      <c r="AY147" s="108"/>
      <c r="AZ147" s="108"/>
      <c r="BA147" s="108"/>
      <c r="BB147" s="108"/>
      <c r="BC147" s="108"/>
      <c r="BD147" s="108"/>
      <c r="BE147" s="108"/>
      <c r="BF147" s="108"/>
      <c r="BG147" s="108"/>
      <c r="BH147" s="108"/>
      <c r="BI147" s="108"/>
      <c r="BJ147" s="108"/>
      <c r="BK147" s="108"/>
      <c r="BL147" s="108"/>
      <c r="BM147" s="108"/>
    </row>
    <row r="148" spans="1:65">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c r="AA148" s="108"/>
      <c r="AB148" s="108"/>
      <c r="AC148" s="108"/>
      <c r="AD148" s="108"/>
      <c r="AE148" s="108"/>
      <c r="AF148" s="108"/>
      <c r="AG148" s="108"/>
      <c r="AH148" s="108"/>
      <c r="AI148" s="108"/>
      <c r="AJ148" s="108"/>
      <c r="AK148" s="108"/>
      <c r="AL148" s="108"/>
      <c r="AM148" s="108"/>
      <c r="AN148" s="108"/>
      <c r="AO148" s="108"/>
      <c r="AP148" s="108"/>
      <c r="AQ148" s="108"/>
      <c r="AR148" s="108"/>
      <c r="AS148" s="108"/>
      <c r="AT148" s="108"/>
      <c r="AU148" s="108"/>
      <c r="AV148" s="108"/>
      <c r="AW148" s="108"/>
      <c r="AX148" s="108"/>
      <c r="AY148" s="108"/>
      <c r="AZ148" s="108"/>
      <c r="BA148" s="108"/>
      <c r="BB148" s="108"/>
      <c r="BC148" s="108"/>
      <c r="BD148" s="108"/>
      <c r="BE148" s="108"/>
      <c r="BF148" s="108"/>
      <c r="BG148" s="108"/>
      <c r="BH148" s="108"/>
      <c r="BI148" s="108"/>
      <c r="BJ148" s="108"/>
      <c r="BK148" s="108"/>
      <c r="BL148" s="108"/>
      <c r="BM148" s="108"/>
    </row>
    <row r="149" spans="1:65">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c r="AA149" s="108"/>
      <c r="AB149" s="108"/>
      <c r="AC149" s="108"/>
      <c r="AD149" s="108"/>
      <c r="AE149" s="108"/>
      <c r="AF149" s="108"/>
      <c r="AG149" s="108"/>
      <c r="AH149" s="108"/>
      <c r="AI149" s="108"/>
      <c r="AJ149" s="108"/>
      <c r="AK149" s="108"/>
      <c r="AL149" s="108"/>
      <c r="AM149" s="108"/>
      <c r="AN149" s="108"/>
      <c r="AO149" s="108"/>
      <c r="AP149" s="108"/>
      <c r="AQ149" s="108"/>
      <c r="AR149" s="108"/>
      <c r="AS149" s="108"/>
      <c r="AT149" s="108"/>
      <c r="AU149" s="108"/>
      <c r="AV149" s="108"/>
      <c r="AW149" s="108"/>
      <c r="AX149" s="108"/>
      <c r="AY149" s="108"/>
      <c r="AZ149" s="108"/>
      <c r="BA149" s="108"/>
      <c r="BB149" s="108"/>
      <c r="BC149" s="108"/>
      <c r="BD149" s="108"/>
      <c r="BE149" s="108"/>
      <c r="BF149" s="108"/>
      <c r="BG149" s="108"/>
      <c r="BH149" s="108"/>
      <c r="BI149" s="108"/>
      <c r="BJ149" s="108"/>
      <c r="BK149" s="108"/>
      <c r="BL149" s="108"/>
      <c r="BM149" s="108"/>
    </row>
    <row r="150" spans="1:65">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c r="AA150" s="108"/>
      <c r="AB150" s="108"/>
      <c r="AC150" s="108"/>
      <c r="AD150" s="108"/>
      <c r="AE150" s="108"/>
      <c r="AF150" s="108"/>
      <c r="AG150" s="108"/>
      <c r="AH150" s="108"/>
      <c r="AI150" s="108"/>
      <c r="AJ150" s="108"/>
      <c r="AK150" s="108"/>
      <c r="AL150" s="108"/>
      <c r="AM150" s="108"/>
      <c r="AN150" s="108"/>
      <c r="AO150" s="108"/>
      <c r="AP150" s="108"/>
      <c r="AQ150" s="108"/>
      <c r="AR150" s="108"/>
      <c r="AS150" s="108"/>
      <c r="AT150" s="108"/>
      <c r="AU150" s="108"/>
      <c r="AV150" s="108"/>
      <c r="AW150" s="108"/>
      <c r="AX150" s="108"/>
      <c r="AY150" s="108"/>
      <c r="AZ150" s="108"/>
      <c r="BA150" s="108"/>
      <c r="BB150" s="108"/>
      <c r="BC150" s="108"/>
      <c r="BD150" s="108"/>
      <c r="BE150" s="108"/>
      <c r="BF150" s="108"/>
      <c r="BG150" s="108"/>
      <c r="BH150" s="108"/>
      <c r="BI150" s="108"/>
      <c r="BJ150" s="108"/>
      <c r="BK150" s="108"/>
      <c r="BL150" s="108"/>
      <c r="BM150" s="108"/>
    </row>
    <row r="151" spans="1:65">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c r="AA151" s="108"/>
      <c r="AB151" s="108"/>
      <c r="AC151" s="108"/>
      <c r="AD151" s="108"/>
      <c r="AE151" s="108"/>
      <c r="AF151" s="108"/>
      <c r="AG151" s="108"/>
      <c r="AH151" s="108"/>
      <c r="AI151" s="108"/>
      <c r="AJ151" s="108"/>
      <c r="AK151" s="108"/>
      <c r="AL151" s="108"/>
      <c r="AM151" s="108"/>
      <c r="AN151" s="108"/>
      <c r="AO151" s="108"/>
      <c r="AP151" s="108"/>
      <c r="AQ151" s="108"/>
      <c r="AR151" s="108"/>
      <c r="AS151" s="108"/>
      <c r="AT151" s="108"/>
      <c r="AU151" s="108"/>
      <c r="AV151" s="108"/>
      <c r="AW151" s="108"/>
      <c r="AX151" s="108"/>
      <c r="AY151" s="108"/>
      <c r="AZ151" s="108"/>
      <c r="BA151" s="108"/>
      <c r="BB151" s="108"/>
      <c r="BC151" s="108"/>
      <c r="BD151" s="108"/>
      <c r="BE151" s="108"/>
      <c r="BF151" s="108"/>
      <c r="BG151" s="108"/>
      <c r="BH151" s="108"/>
      <c r="BI151" s="108"/>
      <c r="BJ151" s="108"/>
      <c r="BK151" s="108"/>
      <c r="BL151" s="108"/>
      <c r="BM151" s="108"/>
    </row>
    <row r="152" spans="1:65">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c r="AA152" s="108"/>
      <c r="AB152" s="108"/>
      <c r="AC152" s="108"/>
      <c r="AD152" s="108"/>
      <c r="AE152" s="108"/>
      <c r="AF152" s="108"/>
      <c r="AG152" s="108"/>
      <c r="AH152" s="108"/>
      <c r="AI152" s="108"/>
      <c r="AJ152" s="108"/>
      <c r="AK152" s="108"/>
      <c r="AL152" s="108"/>
      <c r="AM152" s="108"/>
      <c r="AN152" s="108"/>
      <c r="AO152" s="108"/>
      <c r="AP152" s="108"/>
      <c r="AQ152" s="108"/>
      <c r="AR152" s="108"/>
      <c r="AS152" s="108"/>
      <c r="AT152" s="108"/>
      <c r="AU152" s="108"/>
      <c r="AV152" s="108"/>
      <c r="AW152" s="108"/>
      <c r="AX152" s="108"/>
      <c r="AY152" s="108"/>
      <c r="AZ152" s="108"/>
      <c r="BA152" s="108"/>
      <c r="BB152" s="108"/>
      <c r="BC152" s="108"/>
      <c r="BD152" s="108"/>
      <c r="BE152" s="108"/>
      <c r="BF152" s="108"/>
      <c r="BG152" s="108"/>
      <c r="BH152" s="108"/>
      <c r="BI152" s="108"/>
      <c r="BJ152" s="108"/>
      <c r="BK152" s="108"/>
      <c r="BL152" s="108"/>
      <c r="BM152" s="108"/>
    </row>
    <row r="153" spans="1:65">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c r="AA153" s="108"/>
      <c r="AB153" s="108"/>
      <c r="AC153" s="108"/>
      <c r="AD153" s="108"/>
      <c r="AE153" s="108"/>
      <c r="AF153" s="108"/>
      <c r="AG153" s="108"/>
      <c r="AH153" s="108"/>
      <c r="AI153" s="108"/>
      <c r="AJ153" s="108"/>
      <c r="AK153" s="108"/>
      <c r="AL153" s="108"/>
      <c r="AM153" s="108"/>
      <c r="AN153" s="108"/>
      <c r="AO153" s="108"/>
      <c r="AP153" s="108"/>
      <c r="AQ153" s="108"/>
      <c r="AR153" s="108"/>
      <c r="AS153" s="108"/>
      <c r="AT153" s="108"/>
      <c r="AU153" s="108"/>
      <c r="AV153" s="108"/>
      <c r="AW153" s="108"/>
      <c r="AX153" s="108"/>
      <c r="AY153" s="108"/>
      <c r="AZ153" s="108"/>
      <c r="BA153" s="108"/>
      <c r="BB153" s="108"/>
      <c r="BC153" s="108"/>
      <c r="BD153" s="108"/>
      <c r="BE153" s="108"/>
      <c r="BF153" s="108"/>
      <c r="BG153" s="108"/>
      <c r="BH153" s="108"/>
      <c r="BI153" s="108"/>
      <c r="BJ153" s="108"/>
      <c r="BK153" s="108"/>
      <c r="BL153" s="108"/>
      <c r="BM153" s="108"/>
    </row>
    <row r="154" spans="1:65">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c r="AA154" s="108"/>
      <c r="AB154" s="108"/>
      <c r="AC154" s="108"/>
      <c r="AD154" s="108"/>
      <c r="AE154" s="108"/>
      <c r="AF154" s="108"/>
      <c r="AG154" s="108"/>
      <c r="AH154" s="108"/>
      <c r="AI154" s="108"/>
      <c r="AJ154" s="108"/>
      <c r="AK154" s="108"/>
      <c r="AL154" s="108"/>
      <c r="AM154" s="108"/>
      <c r="AN154" s="108"/>
      <c r="AO154" s="108"/>
      <c r="AP154" s="108"/>
      <c r="AQ154" s="108"/>
      <c r="AR154" s="108"/>
      <c r="AS154" s="108"/>
      <c r="AT154" s="108"/>
      <c r="AU154" s="108"/>
      <c r="AV154" s="108"/>
      <c r="AW154" s="108"/>
      <c r="AX154" s="108"/>
      <c r="AY154" s="108"/>
      <c r="AZ154" s="108"/>
      <c r="BA154" s="108"/>
      <c r="BB154" s="108"/>
      <c r="BC154" s="108"/>
      <c r="BD154" s="108"/>
      <c r="BE154" s="108"/>
      <c r="BF154" s="108"/>
      <c r="BG154" s="108"/>
      <c r="BH154" s="108"/>
      <c r="BI154" s="108"/>
      <c r="BJ154" s="108"/>
      <c r="BK154" s="108"/>
      <c r="BL154" s="108"/>
      <c r="BM154" s="108"/>
    </row>
    <row r="155" spans="1:65">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c r="AA155" s="108"/>
      <c r="AB155" s="108"/>
      <c r="AC155" s="108"/>
      <c r="AD155" s="108"/>
      <c r="AE155" s="108"/>
      <c r="AF155" s="108"/>
      <c r="AG155" s="108"/>
      <c r="AH155" s="108"/>
      <c r="AI155" s="108"/>
      <c r="AJ155" s="108"/>
      <c r="AK155" s="108"/>
      <c r="AL155" s="108"/>
      <c r="AM155" s="108"/>
      <c r="AN155" s="108"/>
      <c r="AO155" s="108"/>
      <c r="AP155" s="108"/>
      <c r="AQ155" s="108"/>
      <c r="AR155" s="108"/>
      <c r="AS155" s="108"/>
      <c r="AT155" s="108"/>
      <c r="AU155" s="108"/>
      <c r="AV155" s="108"/>
      <c r="AW155" s="108"/>
      <c r="AX155" s="108"/>
      <c r="AY155" s="108"/>
      <c r="AZ155" s="108"/>
      <c r="BA155" s="108"/>
      <c r="BB155" s="108"/>
      <c r="BC155" s="108"/>
      <c r="BD155" s="108"/>
      <c r="BE155" s="108"/>
      <c r="BF155" s="108"/>
      <c r="BG155" s="108"/>
      <c r="BH155" s="108"/>
      <c r="BI155" s="108"/>
      <c r="BJ155" s="108"/>
      <c r="BK155" s="108"/>
      <c r="BL155" s="108"/>
      <c r="BM155" s="108"/>
    </row>
    <row r="156" spans="1:65">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c r="AA156" s="108"/>
      <c r="AB156" s="108"/>
      <c r="AC156" s="108"/>
      <c r="AD156" s="108"/>
      <c r="AE156" s="108"/>
      <c r="AF156" s="108"/>
      <c r="AG156" s="108"/>
      <c r="AH156" s="108"/>
      <c r="AI156" s="108"/>
      <c r="AJ156" s="108"/>
      <c r="AK156" s="108"/>
      <c r="AL156" s="108"/>
      <c r="AM156" s="108"/>
      <c r="AN156" s="108"/>
      <c r="AO156" s="108"/>
      <c r="AP156" s="108"/>
      <c r="AQ156" s="108"/>
      <c r="AR156" s="108"/>
      <c r="AS156" s="108"/>
      <c r="AT156" s="108"/>
      <c r="AU156" s="108"/>
      <c r="AV156" s="108"/>
      <c r="AW156" s="108"/>
      <c r="AX156" s="108"/>
      <c r="AY156" s="108"/>
      <c r="AZ156" s="108"/>
      <c r="BA156" s="108"/>
      <c r="BB156" s="108"/>
      <c r="BC156" s="108"/>
      <c r="BD156" s="108"/>
      <c r="BE156" s="108"/>
      <c r="BF156" s="108"/>
      <c r="BG156" s="108"/>
      <c r="BH156" s="108"/>
      <c r="BI156" s="108"/>
      <c r="BJ156" s="108"/>
      <c r="BK156" s="108"/>
      <c r="BL156" s="108"/>
      <c r="BM156" s="108"/>
    </row>
    <row r="157" spans="1:65">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c r="AA157" s="108"/>
      <c r="AB157" s="108"/>
      <c r="AC157" s="108"/>
      <c r="AD157" s="108"/>
      <c r="AE157" s="108"/>
      <c r="AF157" s="108"/>
      <c r="AG157" s="108"/>
      <c r="AH157" s="108"/>
      <c r="AI157" s="108"/>
      <c r="AJ157" s="108"/>
      <c r="AK157" s="108"/>
      <c r="AL157" s="108"/>
      <c r="AM157" s="108"/>
      <c r="AN157" s="108"/>
      <c r="AO157" s="108"/>
      <c r="AP157" s="108"/>
      <c r="AQ157" s="108"/>
      <c r="AR157" s="108"/>
      <c r="AS157" s="108"/>
      <c r="AT157" s="108"/>
      <c r="AU157" s="108"/>
      <c r="AV157" s="108"/>
      <c r="AW157" s="108"/>
      <c r="AX157" s="108"/>
      <c r="AY157" s="108"/>
      <c r="AZ157" s="108"/>
      <c r="BA157" s="108"/>
      <c r="BB157" s="108"/>
      <c r="BC157" s="108"/>
      <c r="BD157" s="108"/>
      <c r="BE157" s="108"/>
      <c r="BF157" s="108"/>
      <c r="BG157" s="108"/>
      <c r="BH157" s="108"/>
      <c r="BI157" s="108"/>
      <c r="BJ157" s="108"/>
      <c r="BK157" s="108"/>
      <c r="BL157" s="108"/>
      <c r="BM157" s="108"/>
    </row>
    <row r="158" spans="1:65">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c r="AA158" s="108"/>
      <c r="AB158" s="108"/>
      <c r="AC158" s="108"/>
      <c r="AD158" s="108"/>
      <c r="AE158" s="108"/>
      <c r="AF158" s="108"/>
      <c r="AG158" s="108"/>
      <c r="AH158" s="108"/>
      <c r="AI158" s="108"/>
      <c r="AJ158" s="108"/>
      <c r="AK158" s="108"/>
      <c r="AL158" s="108"/>
      <c r="AM158" s="108"/>
      <c r="AN158" s="108"/>
      <c r="AO158" s="108"/>
      <c r="AP158" s="108"/>
      <c r="AQ158" s="108"/>
      <c r="AR158" s="108"/>
      <c r="AS158" s="108"/>
      <c r="AT158" s="108"/>
      <c r="AU158" s="108"/>
      <c r="AV158" s="108"/>
      <c r="AW158" s="108"/>
      <c r="AX158" s="108"/>
      <c r="AY158" s="108"/>
      <c r="AZ158" s="108"/>
      <c r="BA158" s="108"/>
      <c r="BB158" s="108"/>
      <c r="BC158" s="108"/>
      <c r="BD158" s="108"/>
      <c r="BE158" s="108"/>
      <c r="BF158" s="108"/>
      <c r="BG158" s="108"/>
      <c r="BH158" s="108"/>
      <c r="BI158" s="108"/>
      <c r="BJ158" s="108"/>
      <c r="BK158" s="108"/>
      <c r="BL158" s="108"/>
      <c r="BM158" s="108"/>
    </row>
    <row r="159" spans="1:65">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c r="AA159" s="108"/>
      <c r="AB159" s="108"/>
      <c r="AC159" s="108"/>
      <c r="AD159" s="108"/>
      <c r="AE159" s="108"/>
      <c r="AF159" s="108"/>
      <c r="AG159" s="108"/>
      <c r="AH159" s="108"/>
      <c r="AI159" s="108"/>
      <c r="AJ159" s="108"/>
      <c r="AK159" s="108"/>
      <c r="AL159" s="108"/>
      <c r="AM159" s="108"/>
      <c r="AN159" s="108"/>
      <c r="AO159" s="108"/>
      <c r="AP159" s="108"/>
      <c r="AQ159" s="108"/>
      <c r="AR159" s="108"/>
      <c r="AS159" s="108"/>
      <c r="AT159" s="108"/>
      <c r="AU159" s="108"/>
      <c r="AV159" s="108"/>
      <c r="AW159" s="108"/>
      <c r="AX159" s="108"/>
      <c r="AY159" s="108"/>
      <c r="AZ159" s="108"/>
      <c r="BA159" s="108"/>
      <c r="BB159" s="108"/>
      <c r="BC159" s="108"/>
      <c r="BD159" s="108"/>
      <c r="BE159" s="108"/>
      <c r="BF159" s="108"/>
      <c r="BG159" s="108"/>
      <c r="BH159" s="108"/>
      <c r="BI159" s="108"/>
      <c r="BJ159" s="108"/>
      <c r="BK159" s="108"/>
      <c r="BL159" s="108"/>
      <c r="BM159" s="108"/>
    </row>
    <row r="160" spans="1:65">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c r="AA160" s="108"/>
      <c r="AB160" s="108"/>
      <c r="AC160" s="108"/>
      <c r="AD160" s="108"/>
      <c r="AE160" s="108"/>
      <c r="AF160" s="108"/>
      <c r="AG160" s="108"/>
      <c r="AH160" s="108"/>
      <c r="AI160" s="108"/>
      <c r="AJ160" s="108"/>
      <c r="AK160" s="108"/>
      <c r="AL160" s="108"/>
      <c r="AM160" s="108"/>
      <c r="AN160" s="108"/>
      <c r="AO160" s="108"/>
      <c r="AP160" s="108"/>
      <c r="AQ160" s="108"/>
      <c r="AR160" s="108"/>
      <c r="AS160" s="108"/>
      <c r="AT160" s="108"/>
      <c r="AU160" s="108"/>
      <c r="AV160" s="108"/>
      <c r="AW160" s="108"/>
      <c r="AX160" s="108"/>
      <c r="AY160" s="108"/>
      <c r="AZ160" s="108"/>
      <c r="BA160" s="108"/>
      <c r="BB160" s="108"/>
      <c r="BC160" s="108"/>
      <c r="BD160" s="108"/>
      <c r="BE160" s="108"/>
      <c r="BF160" s="108"/>
      <c r="BG160" s="108"/>
      <c r="BH160" s="108"/>
      <c r="BI160" s="108"/>
      <c r="BJ160" s="108"/>
      <c r="BK160" s="108"/>
      <c r="BL160" s="108"/>
      <c r="BM160" s="108"/>
    </row>
    <row r="161" spans="1:65">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c r="AA161" s="108"/>
      <c r="AB161" s="108"/>
      <c r="AC161" s="108"/>
      <c r="AD161" s="108"/>
      <c r="AE161" s="108"/>
      <c r="AF161" s="108"/>
      <c r="AG161" s="108"/>
      <c r="AH161" s="108"/>
      <c r="AI161" s="108"/>
      <c r="AJ161" s="108"/>
      <c r="AK161" s="108"/>
      <c r="AL161" s="108"/>
      <c r="AM161" s="108"/>
      <c r="AN161" s="108"/>
      <c r="AO161" s="108"/>
      <c r="AP161" s="108"/>
      <c r="AQ161" s="108"/>
      <c r="AR161" s="108"/>
      <c r="AS161" s="108"/>
      <c r="AT161" s="108"/>
      <c r="AU161" s="108"/>
      <c r="AV161" s="108"/>
      <c r="AW161" s="108"/>
      <c r="AX161" s="108"/>
      <c r="AY161" s="108"/>
      <c r="AZ161" s="108"/>
      <c r="BA161" s="108"/>
      <c r="BB161" s="108"/>
      <c r="BC161" s="108"/>
      <c r="BD161" s="108"/>
      <c r="BE161" s="108"/>
      <c r="BF161" s="108"/>
      <c r="BG161" s="108"/>
      <c r="BH161" s="108"/>
      <c r="BI161" s="108"/>
      <c r="BJ161" s="108"/>
      <c r="BK161" s="108"/>
      <c r="BL161" s="108"/>
      <c r="BM161" s="108"/>
    </row>
    <row r="162" spans="1:65">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c r="AA162" s="108"/>
      <c r="AB162" s="108"/>
      <c r="AC162" s="108"/>
      <c r="AD162" s="108"/>
      <c r="AE162" s="108"/>
      <c r="AF162" s="108"/>
      <c r="AG162" s="108"/>
      <c r="AH162" s="108"/>
      <c r="AI162" s="108"/>
      <c r="AJ162" s="108"/>
      <c r="AK162" s="108"/>
      <c r="AL162" s="108"/>
      <c r="AM162" s="108"/>
      <c r="AN162" s="108"/>
      <c r="AO162" s="108"/>
      <c r="AP162" s="108"/>
      <c r="AQ162" s="108"/>
      <c r="AR162" s="108"/>
      <c r="AS162" s="108"/>
      <c r="AT162" s="108"/>
      <c r="AU162" s="108"/>
      <c r="AV162" s="108"/>
      <c r="AW162" s="108"/>
      <c r="AX162" s="108"/>
      <c r="AY162" s="108"/>
      <c r="AZ162" s="108"/>
      <c r="BA162" s="108"/>
      <c r="BB162" s="108"/>
      <c r="BC162" s="108"/>
      <c r="BD162" s="108"/>
      <c r="BE162" s="108"/>
      <c r="BF162" s="108"/>
      <c r="BG162" s="108"/>
      <c r="BH162" s="108"/>
      <c r="BI162" s="108"/>
      <c r="BJ162" s="108"/>
      <c r="BK162" s="108"/>
      <c r="BL162" s="108"/>
      <c r="BM162" s="108"/>
    </row>
    <row r="163" spans="1:65">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c r="AA163" s="108"/>
      <c r="AB163" s="108"/>
      <c r="AC163" s="108"/>
      <c r="AD163" s="108"/>
      <c r="AE163" s="108"/>
      <c r="AF163" s="108"/>
      <c r="AG163" s="108"/>
      <c r="AH163" s="108"/>
      <c r="AI163" s="108"/>
      <c r="AJ163" s="108"/>
      <c r="AK163" s="108"/>
      <c r="AL163" s="108"/>
      <c r="AM163" s="108"/>
      <c r="AN163" s="108"/>
      <c r="AO163" s="108"/>
      <c r="AP163" s="108"/>
      <c r="AQ163" s="108"/>
      <c r="AR163" s="108"/>
      <c r="AS163" s="108"/>
      <c r="AT163" s="108"/>
      <c r="AU163" s="108"/>
      <c r="AV163" s="108"/>
      <c r="AW163" s="108"/>
      <c r="AX163" s="108"/>
      <c r="AY163" s="108"/>
      <c r="AZ163" s="108"/>
      <c r="BA163" s="108"/>
      <c r="BB163" s="108"/>
      <c r="BC163" s="108"/>
      <c r="BD163" s="108"/>
      <c r="BE163" s="108"/>
      <c r="BF163" s="108"/>
      <c r="BG163" s="108"/>
      <c r="BH163" s="108"/>
      <c r="BI163" s="108"/>
      <c r="BJ163" s="108"/>
      <c r="BK163" s="108"/>
      <c r="BL163" s="108"/>
      <c r="BM163" s="108"/>
    </row>
    <row r="164" spans="1:65">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c r="AA164" s="108"/>
      <c r="AB164" s="108"/>
      <c r="AC164" s="108"/>
      <c r="AD164" s="108"/>
      <c r="AE164" s="108"/>
      <c r="AF164" s="108"/>
      <c r="AG164" s="108"/>
      <c r="AH164" s="108"/>
      <c r="AI164" s="108"/>
      <c r="AJ164" s="108"/>
      <c r="AK164" s="108"/>
      <c r="AL164" s="108"/>
      <c r="AM164" s="108"/>
      <c r="AN164" s="108"/>
      <c r="AO164" s="108"/>
      <c r="AP164" s="108"/>
      <c r="AQ164" s="108"/>
      <c r="AR164" s="108"/>
      <c r="AS164" s="108"/>
      <c r="AT164" s="108"/>
      <c r="AU164" s="108"/>
      <c r="AV164" s="108"/>
      <c r="AW164" s="108"/>
      <c r="AX164" s="108"/>
      <c r="AY164" s="108"/>
      <c r="AZ164" s="108"/>
      <c r="BA164" s="108"/>
      <c r="BB164" s="108"/>
      <c r="BC164" s="108"/>
      <c r="BD164" s="108"/>
      <c r="BE164" s="108"/>
      <c r="BF164" s="108"/>
      <c r="BG164" s="108"/>
      <c r="BH164" s="108"/>
      <c r="BI164" s="108"/>
      <c r="BJ164" s="108"/>
      <c r="BK164" s="108"/>
      <c r="BL164" s="108"/>
      <c r="BM164" s="108"/>
    </row>
    <row r="165" spans="1:65">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c r="AA165" s="108"/>
      <c r="AB165" s="108"/>
      <c r="AC165" s="108"/>
      <c r="AD165" s="108"/>
      <c r="AE165" s="108"/>
      <c r="AF165" s="108"/>
      <c r="AG165" s="108"/>
      <c r="AH165" s="108"/>
      <c r="AI165" s="108"/>
      <c r="AJ165" s="108"/>
      <c r="AK165" s="108"/>
      <c r="AL165" s="108"/>
      <c r="AM165" s="108"/>
      <c r="AN165" s="108"/>
      <c r="AO165" s="108"/>
      <c r="AP165" s="108"/>
      <c r="AQ165" s="108"/>
      <c r="AR165" s="108"/>
      <c r="AS165" s="108"/>
      <c r="AT165" s="108"/>
      <c r="AU165" s="108"/>
      <c r="AV165" s="108"/>
      <c r="AW165" s="108"/>
      <c r="AX165" s="108"/>
      <c r="AY165" s="108"/>
      <c r="AZ165" s="108"/>
      <c r="BA165" s="108"/>
      <c r="BB165" s="108"/>
      <c r="BC165" s="108"/>
      <c r="BD165" s="108"/>
      <c r="BE165" s="108"/>
      <c r="BF165" s="108"/>
      <c r="BG165" s="108"/>
      <c r="BH165" s="108"/>
      <c r="BI165" s="108"/>
      <c r="BJ165" s="108"/>
      <c r="BK165" s="108"/>
      <c r="BL165" s="108"/>
      <c r="BM165" s="108"/>
    </row>
    <row r="166" spans="1:65">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c r="AA166" s="108"/>
      <c r="AB166" s="108"/>
      <c r="AC166" s="108"/>
      <c r="AD166" s="108"/>
      <c r="AE166" s="108"/>
      <c r="AF166" s="108"/>
      <c r="AG166" s="108"/>
      <c r="AH166" s="108"/>
      <c r="AI166" s="108"/>
      <c r="AJ166" s="108"/>
      <c r="AK166" s="108"/>
      <c r="AL166" s="108"/>
      <c r="AM166" s="108"/>
      <c r="AN166" s="108"/>
      <c r="AO166" s="108"/>
      <c r="AP166" s="108"/>
      <c r="AQ166" s="108"/>
      <c r="AR166" s="108"/>
      <c r="AS166" s="108"/>
      <c r="AT166" s="108"/>
      <c r="AU166" s="108"/>
      <c r="AV166" s="108"/>
      <c r="AW166" s="108"/>
      <c r="AX166" s="108"/>
      <c r="AY166" s="108"/>
      <c r="AZ166" s="108"/>
      <c r="BA166" s="108"/>
      <c r="BB166" s="108"/>
      <c r="BC166" s="108"/>
      <c r="BD166" s="108"/>
      <c r="BE166" s="108"/>
      <c r="BF166" s="108"/>
      <c r="BG166" s="108"/>
      <c r="BH166" s="108"/>
      <c r="BI166" s="108"/>
      <c r="BJ166" s="108"/>
      <c r="BK166" s="108"/>
      <c r="BL166" s="108"/>
      <c r="BM166" s="108"/>
    </row>
    <row r="167" spans="1:65">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c r="AA167" s="108"/>
      <c r="AB167" s="108"/>
      <c r="AC167" s="108"/>
      <c r="AD167" s="108"/>
      <c r="AE167" s="108"/>
      <c r="AF167" s="108"/>
      <c r="AG167" s="108"/>
      <c r="AH167" s="108"/>
      <c r="AI167" s="108"/>
      <c r="AJ167" s="108"/>
      <c r="AK167" s="108"/>
      <c r="AL167" s="108"/>
      <c r="AM167" s="108"/>
      <c r="AN167" s="108"/>
      <c r="AO167" s="108"/>
      <c r="AP167" s="108"/>
      <c r="AQ167" s="108"/>
      <c r="AR167" s="108"/>
      <c r="AS167" s="108"/>
      <c r="AT167" s="108"/>
      <c r="AU167" s="108"/>
      <c r="AV167" s="108"/>
      <c r="AW167" s="108"/>
      <c r="AX167" s="108"/>
      <c r="AY167" s="108"/>
      <c r="AZ167" s="108"/>
      <c r="BA167" s="108"/>
      <c r="BB167" s="108"/>
      <c r="BC167" s="108"/>
      <c r="BD167" s="108"/>
      <c r="BE167" s="108"/>
      <c r="BF167" s="108"/>
      <c r="BG167" s="108"/>
      <c r="BH167" s="108"/>
      <c r="BI167" s="108"/>
      <c r="BJ167" s="108"/>
      <c r="BK167" s="108"/>
      <c r="BL167" s="108"/>
      <c r="BM167" s="108"/>
    </row>
    <row r="168" spans="1:65">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c r="AA168" s="108"/>
      <c r="AB168" s="108"/>
      <c r="AC168" s="108"/>
      <c r="AD168" s="108"/>
      <c r="AE168" s="108"/>
      <c r="AF168" s="108"/>
      <c r="AG168" s="108"/>
      <c r="AH168" s="108"/>
      <c r="AI168" s="108"/>
      <c r="AJ168" s="108"/>
      <c r="AK168" s="108"/>
      <c r="AL168" s="108"/>
      <c r="AM168" s="108"/>
      <c r="AN168" s="108"/>
      <c r="AO168" s="108"/>
      <c r="AP168" s="108"/>
      <c r="AQ168" s="108"/>
      <c r="AR168" s="108"/>
      <c r="AS168" s="108"/>
      <c r="AT168" s="108"/>
      <c r="AU168" s="108"/>
      <c r="AV168" s="108"/>
      <c r="AW168" s="108"/>
      <c r="AX168" s="108"/>
      <c r="AY168" s="108"/>
      <c r="AZ168" s="108"/>
      <c r="BA168" s="108"/>
      <c r="BB168" s="108"/>
      <c r="BC168" s="108"/>
      <c r="BD168" s="108"/>
      <c r="BE168" s="108"/>
      <c r="BF168" s="108"/>
      <c r="BG168" s="108"/>
      <c r="BH168" s="108"/>
      <c r="BI168" s="108"/>
      <c r="BJ168" s="108"/>
      <c r="BK168" s="108"/>
      <c r="BL168" s="108"/>
      <c r="BM168" s="108"/>
    </row>
    <row r="169" spans="1:65">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c r="AA169" s="108"/>
      <c r="AB169" s="108"/>
      <c r="AC169" s="108"/>
      <c r="AD169" s="108"/>
      <c r="AE169" s="108"/>
      <c r="AF169" s="108"/>
      <c r="AG169" s="108"/>
      <c r="AH169" s="108"/>
      <c r="AI169" s="108"/>
      <c r="AJ169" s="108"/>
      <c r="AK169" s="108"/>
      <c r="AL169" s="108"/>
      <c r="AM169" s="108"/>
      <c r="AN169" s="108"/>
      <c r="AO169" s="108"/>
      <c r="AP169" s="108"/>
      <c r="AQ169" s="108"/>
      <c r="AR169" s="108"/>
      <c r="AS169" s="108"/>
      <c r="AT169" s="108"/>
      <c r="AU169" s="108"/>
      <c r="AV169" s="108"/>
      <c r="AW169" s="108"/>
      <c r="AX169" s="108"/>
      <c r="AY169" s="108"/>
      <c r="AZ169" s="108"/>
      <c r="BA169" s="108"/>
      <c r="BB169" s="108"/>
      <c r="BC169" s="108"/>
      <c r="BD169" s="108"/>
      <c r="BE169" s="108"/>
      <c r="BF169" s="108"/>
      <c r="BG169" s="108"/>
      <c r="BH169" s="108"/>
      <c r="BI169" s="108"/>
      <c r="BJ169" s="108"/>
      <c r="BK169" s="108"/>
      <c r="BL169" s="108"/>
      <c r="BM169" s="108"/>
    </row>
    <row r="170" spans="1:65">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c r="AA170" s="108"/>
      <c r="AB170" s="108"/>
      <c r="AC170" s="108"/>
      <c r="AD170" s="108"/>
      <c r="AE170" s="108"/>
      <c r="AF170" s="108"/>
      <c r="AG170" s="108"/>
      <c r="AH170" s="108"/>
      <c r="AI170" s="108"/>
      <c r="AJ170" s="108"/>
      <c r="AK170" s="108"/>
      <c r="AL170" s="108"/>
      <c r="AM170" s="108"/>
      <c r="AN170" s="108"/>
      <c r="AO170" s="108"/>
      <c r="AP170" s="108"/>
      <c r="AQ170" s="108"/>
      <c r="AR170" s="108"/>
      <c r="AS170" s="108"/>
      <c r="AT170" s="108"/>
      <c r="AU170" s="108"/>
      <c r="AV170" s="108"/>
      <c r="AW170" s="108"/>
      <c r="AX170" s="108"/>
      <c r="AY170" s="108"/>
      <c r="AZ170" s="108"/>
      <c r="BA170" s="108"/>
      <c r="BB170" s="108"/>
      <c r="BC170" s="108"/>
      <c r="BD170" s="108"/>
      <c r="BE170" s="108"/>
      <c r="BF170" s="108"/>
      <c r="BG170" s="108"/>
      <c r="BH170" s="108"/>
      <c r="BI170" s="108"/>
      <c r="BJ170" s="108"/>
      <c r="BK170" s="108"/>
      <c r="BL170" s="108"/>
      <c r="BM170" s="108"/>
    </row>
    <row r="171" spans="1:65">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c r="AA171" s="108"/>
      <c r="AB171" s="108"/>
      <c r="AC171" s="108"/>
      <c r="AD171" s="108"/>
      <c r="AE171" s="108"/>
      <c r="AF171" s="108"/>
      <c r="AG171" s="108"/>
      <c r="AH171" s="108"/>
      <c r="AI171" s="108"/>
      <c r="AJ171" s="108"/>
      <c r="AK171" s="108"/>
      <c r="AL171" s="108"/>
      <c r="AM171" s="108"/>
      <c r="AN171" s="108"/>
      <c r="AO171" s="108"/>
      <c r="AP171" s="108"/>
      <c r="AQ171" s="108"/>
      <c r="AR171" s="108"/>
      <c r="AS171" s="108"/>
      <c r="AT171" s="108"/>
      <c r="AU171" s="108"/>
      <c r="AV171" s="108"/>
      <c r="AW171" s="108"/>
      <c r="AX171" s="108"/>
      <c r="AY171" s="108"/>
      <c r="AZ171" s="108"/>
      <c r="BA171" s="108"/>
      <c r="BB171" s="108"/>
      <c r="BC171" s="108"/>
      <c r="BD171" s="108"/>
      <c r="BE171" s="108"/>
      <c r="BF171" s="108"/>
      <c r="BG171" s="108"/>
      <c r="BH171" s="108"/>
      <c r="BI171" s="108"/>
      <c r="BJ171" s="108"/>
      <c r="BK171" s="108"/>
      <c r="BL171" s="108"/>
      <c r="BM171" s="108"/>
    </row>
    <row r="172" spans="1:65">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c r="AA172" s="108"/>
      <c r="AB172" s="108"/>
      <c r="AC172" s="108"/>
      <c r="AD172" s="108"/>
      <c r="AE172" s="108"/>
      <c r="AF172" s="108"/>
      <c r="AG172" s="108"/>
      <c r="AH172" s="108"/>
      <c r="AI172" s="108"/>
      <c r="AJ172" s="108"/>
      <c r="AK172" s="108"/>
      <c r="AL172" s="108"/>
      <c r="AM172" s="108"/>
      <c r="AN172" s="108"/>
      <c r="AO172" s="108"/>
      <c r="AP172" s="108"/>
      <c r="AQ172" s="108"/>
      <c r="AR172" s="108"/>
      <c r="AS172" s="108"/>
      <c r="AT172" s="108"/>
      <c r="AU172" s="108"/>
      <c r="AV172" s="108"/>
      <c r="AW172" s="108"/>
      <c r="AX172" s="108"/>
      <c r="AY172" s="108"/>
      <c r="AZ172" s="108"/>
      <c r="BA172" s="108"/>
      <c r="BB172" s="108"/>
      <c r="BC172" s="108"/>
      <c r="BD172" s="108"/>
      <c r="BE172" s="108"/>
      <c r="BF172" s="108"/>
      <c r="BG172" s="108"/>
      <c r="BH172" s="108"/>
      <c r="BI172" s="108"/>
      <c r="BJ172" s="108"/>
      <c r="BK172" s="108"/>
      <c r="BL172" s="108"/>
      <c r="BM172" s="108"/>
    </row>
    <row r="173" spans="1:65">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c r="AA173" s="108"/>
      <c r="AB173" s="108"/>
      <c r="AC173" s="108"/>
      <c r="AD173" s="108"/>
      <c r="AE173" s="108"/>
      <c r="AF173" s="108"/>
      <c r="AG173" s="108"/>
      <c r="AH173" s="108"/>
      <c r="AI173" s="108"/>
      <c r="AJ173" s="108"/>
      <c r="AK173" s="108"/>
      <c r="AL173" s="108"/>
      <c r="AM173" s="108"/>
      <c r="AN173" s="108"/>
      <c r="AO173" s="108"/>
      <c r="AP173" s="108"/>
      <c r="AQ173" s="108"/>
      <c r="AR173" s="108"/>
      <c r="AS173" s="108"/>
      <c r="AT173" s="108"/>
      <c r="AU173" s="108"/>
      <c r="AV173" s="108"/>
      <c r="AW173" s="108"/>
      <c r="AX173" s="108"/>
      <c r="AY173" s="108"/>
      <c r="AZ173" s="108"/>
      <c r="BA173" s="108"/>
      <c r="BB173" s="108"/>
      <c r="BC173" s="108"/>
      <c r="BD173" s="108"/>
      <c r="BE173" s="108"/>
      <c r="BF173" s="108"/>
      <c r="BG173" s="108"/>
      <c r="BH173" s="108"/>
      <c r="BI173" s="108"/>
      <c r="BJ173" s="108"/>
      <c r="BK173" s="108"/>
      <c r="BL173" s="108"/>
      <c r="BM173" s="108"/>
    </row>
    <row r="174" spans="1:65">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c r="AA174" s="108"/>
      <c r="AB174" s="108"/>
      <c r="AC174" s="108"/>
      <c r="AD174" s="108"/>
      <c r="AE174" s="108"/>
      <c r="AF174" s="108"/>
      <c r="AG174" s="108"/>
      <c r="AH174" s="108"/>
      <c r="AI174" s="108"/>
      <c r="AJ174" s="108"/>
      <c r="AK174" s="108"/>
      <c r="AL174" s="108"/>
      <c r="AM174" s="108"/>
      <c r="AN174" s="108"/>
      <c r="AO174" s="108"/>
      <c r="AP174" s="108"/>
      <c r="AQ174" s="108"/>
      <c r="AR174" s="108"/>
      <c r="AS174" s="108"/>
      <c r="AT174" s="108"/>
      <c r="AU174" s="108"/>
      <c r="AV174" s="108"/>
      <c r="AW174" s="108"/>
      <c r="AX174" s="108"/>
      <c r="AY174" s="108"/>
      <c r="AZ174" s="108"/>
      <c r="BA174" s="108"/>
      <c r="BB174" s="108"/>
      <c r="BC174" s="108"/>
      <c r="BD174" s="108"/>
      <c r="BE174" s="108"/>
      <c r="BF174" s="108"/>
      <c r="BG174" s="108"/>
      <c r="BH174" s="108"/>
      <c r="BI174" s="108"/>
      <c r="BJ174" s="108"/>
      <c r="BK174" s="108"/>
      <c r="BL174" s="108"/>
      <c r="BM174" s="108"/>
    </row>
    <row r="175" spans="1:65">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c r="AA175" s="108"/>
      <c r="AB175" s="108"/>
      <c r="AC175" s="108"/>
      <c r="AD175" s="108"/>
      <c r="AE175" s="108"/>
      <c r="AF175" s="108"/>
      <c r="AG175" s="108"/>
      <c r="AH175" s="108"/>
      <c r="AI175" s="108"/>
      <c r="AJ175" s="108"/>
      <c r="AK175" s="108"/>
      <c r="AL175" s="108"/>
      <c r="AM175" s="108"/>
      <c r="AN175" s="108"/>
      <c r="AO175" s="108"/>
      <c r="AP175" s="108"/>
      <c r="AQ175" s="108"/>
      <c r="AR175" s="108"/>
      <c r="AS175" s="108"/>
      <c r="AT175" s="108"/>
      <c r="AU175" s="108"/>
      <c r="AV175" s="108"/>
      <c r="AW175" s="108"/>
      <c r="AX175" s="108"/>
      <c r="AY175" s="108"/>
      <c r="AZ175" s="108"/>
      <c r="BA175" s="108"/>
      <c r="BB175" s="108"/>
      <c r="BC175" s="108"/>
      <c r="BD175" s="108"/>
      <c r="BE175" s="108"/>
      <c r="BF175" s="108"/>
      <c r="BG175" s="108"/>
      <c r="BH175" s="108"/>
      <c r="BI175" s="108"/>
      <c r="BJ175" s="108"/>
      <c r="BK175" s="108"/>
      <c r="BL175" s="108"/>
      <c r="BM175" s="108"/>
    </row>
    <row r="176" spans="1:65">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c r="AA176" s="108"/>
      <c r="AB176" s="108"/>
      <c r="AC176" s="108"/>
      <c r="AD176" s="108"/>
      <c r="AE176" s="108"/>
      <c r="AF176" s="108"/>
      <c r="AG176" s="108"/>
      <c r="AH176" s="108"/>
      <c r="AI176" s="108"/>
      <c r="AJ176" s="108"/>
      <c r="AK176" s="108"/>
      <c r="AL176" s="108"/>
      <c r="AM176" s="108"/>
      <c r="AN176" s="108"/>
      <c r="AO176" s="108"/>
      <c r="AP176" s="108"/>
      <c r="AQ176" s="108"/>
      <c r="AR176" s="108"/>
      <c r="AS176" s="108"/>
      <c r="AT176" s="108"/>
      <c r="AU176" s="108"/>
      <c r="AV176" s="108"/>
      <c r="AW176" s="108"/>
      <c r="AX176" s="108"/>
      <c r="AY176" s="108"/>
      <c r="AZ176" s="108"/>
      <c r="BA176" s="108"/>
      <c r="BB176" s="108"/>
      <c r="BC176" s="108"/>
      <c r="BD176" s="108"/>
      <c r="BE176" s="108"/>
      <c r="BF176" s="108"/>
      <c r="BG176" s="108"/>
      <c r="BH176" s="108"/>
      <c r="BI176" s="108"/>
      <c r="BJ176" s="108"/>
      <c r="BK176" s="108"/>
      <c r="BL176" s="108"/>
      <c r="BM176" s="108"/>
    </row>
    <row r="177" spans="1:65">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c r="AA177" s="108"/>
      <c r="AB177" s="108"/>
      <c r="AC177" s="108"/>
      <c r="AD177" s="108"/>
      <c r="AE177" s="108"/>
      <c r="AF177" s="108"/>
      <c r="AG177" s="108"/>
      <c r="AH177" s="108"/>
      <c r="AI177" s="108"/>
      <c r="AJ177" s="108"/>
      <c r="AK177" s="108"/>
      <c r="AL177" s="108"/>
      <c r="AM177" s="108"/>
      <c r="AN177" s="108"/>
      <c r="AO177" s="108"/>
      <c r="AP177" s="108"/>
      <c r="AQ177" s="108"/>
      <c r="AR177" s="108"/>
      <c r="AS177" s="108"/>
      <c r="AT177" s="108"/>
      <c r="AU177" s="108"/>
      <c r="AV177" s="108"/>
      <c r="AW177" s="108"/>
      <c r="AX177" s="108"/>
      <c r="AY177" s="108"/>
      <c r="AZ177" s="108"/>
      <c r="BA177" s="108"/>
      <c r="BB177" s="108"/>
      <c r="BC177" s="108"/>
      <c r="BD177" s="108"/>
      <c r="BE177" s="108"/>
      <c r="BF177" s="108"/>
      <c r="BG177" s="108"/>
      <c r="BH177" s="108"/>
      <c r="BI177" s="108"/>
      <c r="BJ177" s="108"/>
      <c r="BK177" s="108"/>
      <c r="BL177" s="108"/>
      <c r="BM177" s="108"/>
    </row>
    <row r="178" spans="1:65">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c r="AA178" s="108"/>
      <c r="AB178" s="108"/>
      <c r="AC178" s="108"/>
      <c r="AD178" s="108"/>
      <c r="AE178" s="108"/>
      <c r="AF178" s="108"/>
      <c r="AG178" s="108"/>
      <c r="AH178" s="108"/>
      <c r="AI178" s="108"/>
      <c r="AJ178" s="108"/>
      <c r="AK178" s="108"/>
      <c r="AL178" s="108"/>
      <c r="AM178" s="108"/>
      <c r="AN178" s="108"/>
      <c r="AO178" s="108"/>
      <c r="AP178" s="108"/>
      <c r="AQ178" s="108"/>
      <c r="AR178" s="108"/>
      <c r="AS178" s="108"/>
      <c r="AT178" s="108"/>
      <c r="AU178" s="108"/>
      <c r="AV178" s="108"/>
      <c r="AW178" s="108"/>
      <c r="AX178" s="108"/>
      <c r="AY178" s="108"/>
      <c r="AZ178" s="108"/>
      <c r="BA178" s="108"/>
      <c r="BB178" s="108"/>
      <c r="BC178" s="108"/>
      <c r="BD178" s="108"/>
      <c r="BE178" s="108"/>
      <c r="BF178" s="108"/>
      <c r="BG178" s="108"/>
      <c r="BH178" s="108"/>
      <c r="BI178" s="108"/>
      <c r="BJ178" s="108"/>
      <c r="BK178" s="108"/>
      <c r="BL178" s="108"/>
      <c r="BM178" s="108"/>
    </row>
    <row r="179" spans="1:65">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c r="AA179" s="108"/>
      <c r="AB179" s="108"/>
      <c r="AC179" s="108"/>
      <c r="AD179" s="108"/>
      <c r="AE179" s="108"/>
      <c r="AF179" s="108"/>
      <c r="AG179" s="108"/>
      <c r="AH179" s="108"/>
      <c r="AI179" s="108"/>
      <c r="AJ179" s="108"/>
      <c r="AK179" s="108"/>
      <c r="AL179" s="108"/>
      <c r="AM179" s="108"/>
      <c r="AN179" s="108"/>
      <c r="AO179" s="108"/>
      <c r="AP179" s="108"/>
      <c r="AQ179" s="108"/>
      <c r="AR179" s="108"/>
      <c r="AS179" s="108"/>
      <c r="AT179" s="108"/>
      <c r="AU179" s="108"/>
      <c r="AV179" s="108"/>
      <c r="AW179" s="108"/>
      <c r="AX179" s="108"/>
      <c r="AY179" s="108"/>
      <c r="AZ179" s="108"/>
      <c r="BA179" s="108"/>
      <c r="BB179" s="108"/>
      <c r="BC179" s="108"/>
      <c r="BD179" s="108"/>
      <c r="BE179" s="108"/>
      <c r="BF179" s="108"/>
      <c r="BG179" s="108"/>
      <c r="BH179" s="108"/>
      <c r="BI179" s="108"/>
      <c r="BJ179" s="108"/>
      <c r="BK179" s="108"/>
      <c r="BL179" s="108"/>
      <c r="BM179" s="108"/>
    </row>
    <row r="180" spans="1:65">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c r="AA180" s="108"/>
      <c r="AB180" s="108"/>
      <c r="AC180" s="108"/>
      <c r="AD180" s="108"/>
      <c r="AE180" s="108"/>
      <c r="AF180" s="108"/>
      <c r="AG180" s="108"/>
      <c r="AH180" s="108"/>
      <c r="AI180" s="108"/>
      <c r="AJ180" s="108"/>
      <c r="AK180" s="108"/>
      <c r="AL180" s="108"/>
      <c r="AM180" s="108"/>
      <c r="AN180" s="108"/>
      <c r="AO180" s="108"/>
      <c r="AP180" s="108"/>
      <c r="AQ180" s="108"/>
      <c r="AR180" s="108"/>
      <c r="AS180" s="108"/>
      <c r="AT180" s="108"/>
      <c r="AU180" s="108"/>
      <c r="AV180" s="108"/>
      <c r="AW180" s="108"/>
      <c r="AX180" s="108"/>
      <c r="AY180" s="108"/>
      <c r="AZ180" s="108"/>
      <c r="BA180" s="108"/>
      <c r="BB180" s="108"/>
      <c r="BC180" s="108"/>
      <c r="BD180" s="108"/>
      <c r="BE180" s="108"/>
      <c r="BF180" s="108"/>
      <c r="BG180" s="108"/>
      <c r="BH180" s="108"/>
      <c r="BI180" s="108"/>
      <c r="BJ180" s="108"/>
      <c r="BK180" s="108"/>
      <c r="BL180" s="108"/>
      <c r="BM180" s="108"/>
    </row>
    <row r="181" spans="1:65">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c r="AA181" s="108"/>
      <c r="AB181" s="108"/>
      <c r="AC181" s="108"/>
      <c r="AD181" s="108"/>
      <c r="AE181" s="108"/>
      <c r="AF181" s="108"/>
      <c r="AG181" s="108"/>
      <c r="AH181" s="108"/>
      <c r="AI181" s="108"/>
      <c r="AJ181" s="108"/>
      <c r="AK181" s="108"/>
      <c r="AL181" s="108"/>
      <c r="AM181" s="108"/>
      <c r="AN181" s="108"/>
      <c r="AO181" s="108"/>
      <c r="AP181" s="108"/>
      <c r="AQ181" s="108"/>
      <c r="AR181" s="108"/>
      <c r="AS181" s="108"/>
      <c r="AT181" s="108"/>
      <c r="AU181" s="108"/>
      <c r="AV181" s="108"/>
      <c r="AW181" s="108"/>
      <c r="AX181" s="108"/>
      <c r="AY181" s="108"/>
      <c r="AZ181" s="108"/>
      <c r="BA181" s="108"/>
      <c r="BB181" s="108"/>
      <c r="BC181" s="108"/>
      <c r="BD181" s="108"/>
      <c r="BE181" s="108"/>
      <c r="BF181" s="108"/>
      <c r="BG181" s="108"/>
      <c r="BH181" s="108"/>
      <c r="BI181" s="108"/>
      <c r="BJ181" s="108"/>
      <c r="BK181" s="108"/>
      <c r="BL181" s="108"/>
      <c r="BM181" s="108"/>
    </row>
    <row r="182" spans="1:65">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c r="AA182" s="108"/>
      <c r="AB182" s="108"/>
      <c r="AC182" s="108"/>
      <c r="AD182" s="108"/>
      <c r="AE182" s="108"/>
      <c r="AF182" s="108"/>
      <c r="AG182" s="108"/>
      <c r="AH182" s="108"/>
      <c r="AI182" s="108"/>
      <c r="AJ182" s="108"/>
      <c r="AK182" s="108"/>
      <c r="AL182" s="108"/>
      <c r="AM182" s="108"/>
      <c r="AN182" s="108"/>
      <c r="AO182" s="108"/>
      <c r="AP182" s="108"/>
      <c r="AQ182" s="108"/>
      <c r="AR182" s="108"/>
      <c r="AS182" s="108"/>
      <c r="AT182" s="108"/>
      <c r="AU182" s="108"/>
      <c r="AV182" s="108"/>
      <c r="AW182" s="108"/>
      <c r="AX182" s="108"/>
      <c r="AY182" s="108"/>
      <c r="AZ182" s="108"/>
      <c r="BA182" s="108"/>
      <c r="BB182" s="108"/>
      <c r="BC182" s="108"/>
      <c r="BD182" s="108"/>
      <c r="BE182" s="108"/>
      <c r="BF182" s="108"/>
      <c r="BG182" s="108"/>
      <c r="BH182" s="108"/>
      <c r="BI182" s="108"/>
      <c r="BJ182" s="108"/>
      <c r="BK182" s="108"/>
      <c r="BL182" s="108"/>
      <c r="BM182" s="108"/>
    </row>
    <row r="183" spans="1:65">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c r="AA183" s="108"/>
      <c r="AB183" s="108"/>
      <c r="AC183" s="108"/>
      <c r="AD183" s="108"/>
      <c r="AE183" s="108"/>
      <c r="AF183" s="108"/>
      <c r="AG183" s="108"/>
      <c r="AH183" s="108"/>
      <c r="AI183" s="108"/>
      <c r="AJ183" s="108"/>
      <c r="AK183" s="108"/>
      <c r="AL183" s="108"/>
      <c r="AM183" s="108"/>
      <c r="AN183" s="108"/>
      <c r="AO183" s="108"/>
      <c r="AP183" s="108"/>
      <c r="AQ183" s="108"/>
      <c r="AR183" s="108"/>
      <c r="AS183" s="108"/>
      <c r="AT183" s="108"/>
      <c r="AU183" s="108"/>
      <c r="AV183" s="108"/>
      <c r="AW183" s="108"/>
      <c r="AX183" s="108"/>
      <c r="AY183" s="108"/>
      <c r="AZ183" s="108"/>
      <c r="BA183" s="108"/>
      <c r="BB183" s="108"/>
      <c r="BC183" s="108"/>
      <c r="BD183" s="108"/>
      <c r="BE183" s="108"/>
      <c r="BF183" s="108"/>
      <c r="BG183" s="108"/>
      <c r="BH183" s="108"/>
      <c r="BI183" s="108"/>
      <c r="BJ183" s="108"/>
      <c r="BK183" s="108"/>
      <c r="BL183" s="108"/>
      <c r="BM183" s="108"/>
    </row>
    <row r="184" spans="1:65">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c r="AA184" s="108"/>
      <c r="AB184" s="108"/>
      <c r="AC184" s="108"/>
      <c r="AD184" s="108"/>
      <c r="AE184" s="108"/>
      <c r="AF184" s="108"/>
      <c r="AG184" s="108"/>
      <c r="AH184" s="108"/>
      <c r="AI184" s="108"/>
      <c r="AJ184" s="108"/>
      <c r="AK184" s="108"/>
      <c r="AL184" s="108"/>
      <c r="AM184" s="108"/>
      <c r="AN184" s="108"/>
      <c r="AO184" s="108"/>
      <c r="AP184" s="108"/>
      <c r="AQ184" s="108"/>
      <c r="AR184" s="108"/>
      <c r="AS184" s="108"/>
      <c r="AT184" s="108"/>
      <c r="AU184" s="108"/>
      <c r="AV184" s="108"/>
      <c r="AW184" s="108"/>
      <c r="AX184" s="108"/>
      <c r="AY184" s="108"/>
      <c r="AZ184" s="108"/>
      <c r="BA184" s="108"/>
      <c r="BB184" s="108"/>
      <c r="BC184" s="108"/>
      <c r="BD184" s="108"/>
      <c r="BE184" s="108"/>
      <c r="BF184" s="108"/>
      <c r="BG184" s="108"/>
      <c r="BH184" s="108"/>
      <c r="BI184" s="108"/>
      <c r="BJ184" s="108"/>
      <c r="BK184" s="108"/>
      <c r="BL184" s="108"/>
      <c r="BM184" s="108"/>
    </row>
    <row r="185" spans="1:65">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c r="AA185" s="108"/>
      <c r="AB185" s="108"/>
      <c r="AC185" s="108"/>
      <c r="AD185" s="108"/>
      <c r="AE185" s="108"/>
      <c r="AF185" s="108"/>
      <c r="AG185" s="108"/>
      <c r="AH185" s="108"/>
      <c r="AI185" s="108"/>
      <c r="AJ185" s="108"/>
      <c r="AK185" s="108"/>
      <c r="AL185" s="108"/>
      <c r="AM185" s="108"/>
      <c r="AN185" s="108"/>
      <c r="AO185" s="108"/>
      <c r="AP185" s="108"/>
      <c r="AQ185" s="108"/>
      <c r="AR185" s="108"/>
      <c r="AS185" s="108"/>
      <c r="AT185" s="108"/>
      <c r="AU185" s="108"/>
      <c r="AV185" s="108"/>
      <c r="AW185" s="108"/>
      <c r="AX185" s="108"/>
      <c r="AY185" s="108"/>
      <c r="AZ185" s="108"/>
      <c r="BA185" s="108"/>
      <c r="BB185" s="108"/>
      <c r="BC185" s="108"/>
      <c r="BD185" s="108"/>
      <c r="BE185" s="108"/>
      <c r="BF185" s="108"/>
      <c r="BG185" s="108"/>
      <c r="BH185" s="108"/>
      <c r="BI185" s="108"/>
      <c r="BJ185" s="108"/>
      <c r="BK185" s="108"/>
      <c r="BL185" s="108"/>
      <c r="BM185" s="108"/>
    </row>
    <row r="186" spans="1:65">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c r="AA186" s="108"/>
      <c r="AB186" s="108"/>
      <c r="AC186" s="108"/>
      <c r="AD186" s="108"/>
      <c r="AE186" s="108"/>
      <c r="AF186" s="108"/>
      <c r="AG186" s="108"/>
      <c r="AH186" s="108"/>
      <c r="AI186" s="108"/>
      <c r="AJ186" s="108"/>
      <c r="AK186" s="108"/>
      <c r="AL186" s="108"/>
      <c r="AM186" s="108"/>
      <c r="AN186" s="108"/>
      <c r="AO186" s="108"/>
      <c r="AP186" s="108"/>
      <c r="AQ186" s="108"/>
      <c r="AR186" s="108"/>
      <c r="AS186" s="108"/>
      <c r="AT186" s="108"/>
      <c r="AU186" s="108"/>
      <c r="AV186" s="108"/>
      <c r="AW186" s="108"/>
      <c r="AX186" s="108"/>
      <c r="AY186" s="108"/>
      <c r="AZ186" s="108"/>
      <c r="BA186" s="108"/>
      <c r="BB186" s="108"/>
      <c r="BC186" s="108"/>
      <c r="BD186" s="108"/>
      <c r="BE186" s="108"/>
      <c r="BF186" s="108"/>
      <c r="BG186" s="108"/>
      <c r="BH186" s="108"/>
      <c r="BI186" s="108"/>
      <c r="BJ186" s="108"/>
      <c r="BK186" s="108"/>
      <c r="BL186" s="108"/>
      <c r="BM186" s="108"/>
    </row>
    <row r="187" spans="1:65">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c r="AA187" s="108"/>
      <c r="AB187" s="108"/>
      <c r="AC187" s="108"/>
      <c r="AD187" s="108"/>
      <c r="AE187" s="108"/>
      <c r="AF187" s="108"/>
      <c r="AG187" s="108"/>
      <c r="AH187" s="108"/>
      <c r="AI187" s="108"/>
      <c r="AJ187" s="108"/>
      <c r="AK187" s="108"/>
      <c r="AL187" s="108"/>
      <c r="AM187" s="108"/>
      <c r="AN187" s="108"/>
      <c r="AO187" s="108"/>
      <c r="AP187" s="108"/>
      <c r="AQ187" s="108"/>
      <c r="AR187" s="108"/>
      <c r="AS187" s="108"/>
      <c r="AT187" s="108"/>
      <c r="AU187" s="108"/>
      <c r="AV187" s="108"/>
      <c r="AW187" s="108"/>
      <c r="AX187" s="108"/>
      <c r="AY187" s="108"/>
      <c r="AZ187" s="108"/>
      <c r="BA187" s="108"/>
      <c r="BB187" s="108"/>
      <c r="BC187" s="108"/>
      <c r="BD187" s="108"/>
      <c r="BE187" s="108"/>
      <c r="BF187" s="108"/>
      <c r="BG187" s="108"/>
      <c r="BH187" s="108"/>
      <c r="BI187" s="108"/>
      <c r="BJ187" s="108"/>
      <c r="BK187" s="108"/>
      <c r="BL187" s="108"/>
      <c r="BM187" s="108"/>
    </row>
    <row r="188" spans="1:65">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c r="AA188" s="108"/>
      <c r="AB188" s="108"/>
      <c r="AC188" s="108"/>
      <c r="AD188" s="108"/>
      <c r="AE188" s="108"/>
      <c r="AF188" s="108"/>
      <c r="AG188" s="108"/>
      <c r="AH188" s="108"/>
      <c r="AI188" s="108"/>
      <c r="AJ188" s="108"/>
      <c r="AK188" s="108"/>
      <c r="AL188" s="108"/>
      <c r="AM188" s="108"/>
      <c r="AN188" s="108"/>
      <c r="AO188" s="108"/>
      <c r="AP188" s="108"/>
      <c r="AQ188" s="108"/>
      <c r="AR188" s="108"/>
      <c r="AS188" s="108"/>
      <c r="AT188" s="108"/>
      <c r="AU188" s="108"/>
      <c r="AV188" s="108"/>
      <c r="AW188" s="108"/>
      <c r="AX188" s="108"/>
      <c r="AY188" s="108"/>
      <c r="AZ188" s="108"/>
      <c r="BA188" s="108"/>
      <c r="BB188" s="108"/>
      <c r="BC188" s="108"/>
      <c r="BD188" s="108"/>
      <c r="BE188" s="108"/>
      <c r="BF188" s="108"/>
      <c r="BG188" s="108"/>
      <c r="BH188" s="108"/>
      <c r="BI188" s="108"/>
      <c r="BJ188" s="108"/>
      <c r="BK188" s="108"/>
      <c r="BL188" s="108"/>
      <c r="BM188" s="108"/>
    </row>
    <row r="189" spans="1:65">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c r="AA189" s="108"/>
      <c r="AB189" s="108"/>
      <c r="AC189" s="108"/>
      <c r="AD189" s="108"/>
      <c r="AE189" s="108"/>
      <c r="AF189" s="108"/>
      <c r="AG189" s="108"/>
      <c r="AH189" s="108"/>
      <c r="AI189" s="108"/>
      <c r="AJ189" s="108"/>
      <c r="AK189" s="108"/>
      <c r="AL189" s="108"/>
      <c r="AM189" s="108"/>
      <c r="AN189" s="108"/>
      <c r="AO189" s="108"/>
      <c r="AP189" s="108"/>
      <c r="AQ189" s="108"/>
      <c r="AR189" s="108"/>
      <c r="AS189" s="108"/>
      <c r="AT189" s="108"/>
      <c r="AU189" s="108"/>
      <c r="AV189" s="108"/>
      <c r="AW189" s="108"/>
      <c r="AX189" s="108"/>
      <c r="AY189" s="108"/>
      <c r="AZ189" s="108"/>
      <c r="BA189" s="108"/>
      <c r="BB189" s="108"/>
      <c r="BC189" s="108"/>
      <c r="BD189" s="108"/>
      <c r="BE189" s="108"/>
      <c r="BF189" s="108"/>
      <c r="BG189" s="108"/>
      <c r="BH189" s="108"/>
      <c r="BI189" s="108"/>
      <c r="BJ189" s="108"/>
      <c r="BK189" s="108"/>
      <c r="BL189" s="108"/>
      <c r="BM189" s="108"/>
    </row>
    <row r="190" spans="1:65">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c r="AA190" s="108"/>
      <c r="AB190" s="108"/>
      <c r="AC190" s="108"/>
      <c r="AD190" s="108"/>
      <c r="AE190" s="108"/>
      <c r="AF190" s="108"/>
      <c r="AG190" s="108"/>
      <c r="AH190" s="108"/>
      <c r="AI190" s="108"/>
      <c r="AJ190" s="108"/>
      <c r="AK190" s="108"/>
      <c r="AL190" s="108"/>
      <c r="AM190" s="108"/>
      <c r="AN190" s="108"/>
      <c r="AO190" s="108"/>
      <c r="AP190" s="108"/>
      <c r="AQ190" s="108"/>
      <c r="AR190" s="108"/>
      <c r="AS190" s="108"/>
      <c r="AT190" s="108"/>
      <c r="AU190" s="108"/>
      <c r="AV190" s="108"/>
      <c r="AW190" s="108"/>
      <c r="AX190" s="108"/>
      <c r="AY190" s="108"/>
      <c r="AZ190" s="108"/>
      <c r="BA190" s="108"/>
      <c r="BB190" s="108"/>
      <c r="BC190" s="108"/>
      <c r="BD190" s="108"/>
      <c r="BE190" s="108"/>
      <c r="BF190" s="108"/>
      <c r="BG190" s="108"/>
      <c r="BH190" s="108"/>
      <c r="BI190" s="108"/>
      <c r="BJ190" s="108"/>
      <c r="BK190" s="108"/>
      <c r="BL190" s="108"/>
      <c r="BM190" s="108"/>
    </row>
    <row r="191" spans="1:65">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c r="AA191" s="108"/>
      <c r="AB191" s="108"/>
      <c r="AC191" s="108"/>
      <c r="AD191" s="108"/>
      <c r="AE191" s="108"/>
      <c r="AF191" s="108"/>
      <c r="AG191" s="108"/>
      <c r="AH191" s="108"/>
      <c r="AI191" s="108"/>
      <c r="AJ191" s="108"/>
      <c r="AK191" s="108"/>
      <c r="AL191" s="108"/>
      <c r="AM191" s="108"/>
      <c r="AN191" s="108"/>
      <c r="AO191" s="108"/>
      <c r="AP191" s="108"/>
      <c r="AQ191" s="108"/>
      <c r="AR191" s="108"/>
      <c r="AS191" s="108"/>
      <c r="AT191" s="108"/>
      <c r="AU191" s="108"/>
      <c r="AV191" s="108"/>
      <c r="AW191" s="108"/>
      <c r="AX191" s="108"/>
      <c r="AY191" s="108"/>
      <c r="AZ191" s="108"/>
      <c r="BA191" s="108"/>
      <c r="BB191" s="108"/>
      <c r="BC191" s="108"/>
      <c r="BD191" s="108"/>
      <c r="BE191" s="108"/>
      <c r="BF191" s="108"/>
      <c r="BG191" s="108"/>
      <c r="BH191" s="108"/>
      <c r="BI191" s="108"/>
      <c r="BJ191" s="108"/>
      <c r="BK191" s="108"/>
      <c r="BL191" s="108"/>
      <c r="BM191" s="108"/>
    </row>
    <row r="192" spans="1:65">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c r="AA192" s="108"/>
      <c r="AB192" s="108"/>
      <c r="AC192" s="108"/>
      <c r="AD192" s="108"/>
      <c r="AE192" s="108"/>
      <c r="AF192" s="108"/>
      <c r="AG192" s="108"/>
      <c r="AH192" s="108"/>
      <c r="AI192" s="108"/>
      <c r="AJ192" s="108"/>
      <c r="AK192" s="108"/>
      <c r="AL192" s="108"/>
      <c r="AM192" s="108"/>
      <c r="AN192" s="108"/>
      <c r="AO192" s="108"/>
      <c r="AP192" s="108"/>
      <c r="AQ192" s="108"/>
      <c r="AR192" s="108"/>
      <c r="AS192" s="108"/>
      <c r="AT192" s="108"/>
      <c r="AU192" s="108"/>
      <c r="AV192" s="108"/>
      <c r="AW192" s="108"/>
      <c r="AX192" s="108"/>
      <c r="AY192" s="108"/>
      <c r="AZ192" s="108"/>
      <c r="BA192" s="108"/>
      <c r="BB192" s="108"/>
      <c r="BC192" s="108"/>
      <c r="BD192" s="108"/>
      <c r="BE192" s="108"/>
      <c r="BF192" s="108"/>
      <c r="BG192" s="108"/>
      <c r="BH192" s="108"/>
      <c r="BI192" s="108"/>
      <c r="BJ192" s="108"/>
      <c r="BK192" s="108"/>
      <c r="BL192" s="108"/>
      <c r="BM192" s="108"/>
    </row>
    <row r="193" spans="1:65">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c r="AA193" s="108"/>
      <c r="AB193" s="108"/>
      <c r="AC193" s="108"/>
      <c r="AD193" s="108"/>
      <c r="AE193" s="108"/>
      <c r="AF193" s="108"/>
      <c r="AG193" s="108"/>
      <c r="AH193" s="108"/>
      <c r="AI193" s="108"/>
      <c r="AJ193" s="108"/>
      <c r="AK193" s="108"/>
      <c r="AL193" s="108"/>
      <c r="AM193" s="108"/>
      <c r="AN193" s="108"/>
      <c r="AO193" s="108"/>
      <c r="AP193" s="108"/>
      <c r="AQ193" s="108"/>
      <c r="AR193" s="108"/>
      <c r="AS193" s="108"/>
      <c r="AT193" s="108"/>
      <c r="AU193" s="108"/>
      <c r="AV193" s="108"/>
      <c r="AW193" s="108"/>
      <c r="AX193" s="108"/>
      <c r="AY193" s="108"/>
      <c r="AZ193" s="108"/>
      <c r="BA193" s="108"/>
      <c r="BB193" s="108"/>
      <c r="BC193" s="108"/>
      <c r="BD193" s="108"/>
      <c r="BE193" s="108"/>
      <c r="BF193" s="108"/>
      <c r="BG193" s="108"/>
      <c r="BH193" s="108"/>
      <c r="BI193" s="108"/>
      <c r="BJ193" s="108"/>
      <c r="BK193" s="108"/>
      <c r="BL193" s="108"/>
      <c r="BM193" s="108"/>
    </row>
    <row r="194" spans="1:65">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c r="AA194" s="108"/>
      <c r="AB194" s="108"/>
      <c r="AC194" s="108"/>
      <c r="AD194" s="108"/>
      <c r="AE194" s="108"/>
      <c r="AF194" s="108"/>
      <c r="AG194" s="108"/>
      <c r="AH194" s="108"/>
      <c r="AI194" s="108"/>
      <c r="AJ194" s="108"/>
      <c r="AK194" s="108"/>
      <c r="AL194" s="108"/>
      <c r="AM194" s="108"/>
      <c r="AN194" s="108"/>
      <c r="AO194" s="108"/>
      <c r="AP194" s="108"/>
      <c r="AQ194" s="108"/>
      <c r="AR194" s="108"/>
      <c r="AS194" s="108"/>
      <c r="AT194" s="108"/>
      <c r="AU194" s="108"/>
      <c r="AV194" s="108"/>
      <c r="AW194" s="108"/>
      <c r="AX194" s="108"/>
      <c r="AY194" s="108"/>
      <c r="AZ194" s="108"/>
      <c r="BA194" s="108"/>
      <c r="BB194" s="108"/>
      <c r="BC194" s="108"/>
      <c r="BD194" s="108"/>
      <c r="BE194" s="108"/>
      <c r="BF194" s="108"/>
      <c r="BG194" s="108"/>
      <c r="BH194" s="108"/>
      <c r="BI194" s="108"/>
      <c r="BJ194" s="108"/>
      <c r="BK194" s="108"/>
      <c r="BL194" s="108"/>
      <c r="BM194" s="108"/>
    </row>
    <row r="195" spans="1:65">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c r="AA195" s="108"/>
      <c r="AB195" s="108"/>
      <c r="AC195" s="108"/>
      <c r="AD195" s="108"/>
      <c r="AE195" s="108"/>
      <c r="AF195" s="108"/>
      <c r="AG195" s="108"/>
      <c r="AH195" s="108"/>
      <c r="AI195" s="108"/>
      <c r="AJ195" s="108"/>
      <c r="AK195" s="108"/>
      <c r="AL195" s="108"/>
      <c r="AM195" s="108"/>
      <c r="AN195" s="108"/>
      <c r="AO195" s="108"/>
      <c r="AP195" s="108"/>
      <c r="AQ195" s="108"/>
      <c r="AR195" s="108"/>
      <c r="AS195" s="108"/>
      <c r="AT195" s="108"/>
      <c r="AU195" s="108"/>
      <c r="AV195" s="108"/>
      <c r="AW195" s="108"/>
      <c r="AX195" s="108"/>
      <c r="AY195" s="108"/>
      <c r="AZ195" s="108"/>
      <c r="BA195" s="108"/>
      <c r="BB195" s="108"/>
      <c r="BC195" s="108"/>
      <c r="BD195" s="108"/>
      <c r="BE195" s="108"/>
      <c r="BF195" s="108"/>
      <c r="BG195" s="108"/>
      <c r="BH195" s="108"/>
      <c r="BI195" s="108"/>
      <c r="BJ195" s="108"/>
      <c r="BK195" s="108"/>
      <c r="BL195" s="108"/>
      <c r="BM195" s="108"/>
    </row>
    <row r="196" spans="1:65">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c r="AA196" s="108"/>
      <c r="AB196" s="108"/>
      <c r="AC196" s="108"/>
      <c r="AD196" s="108"/>
      <c r="AE196" s="108"/>
      <c r="AF196" s="108"/>
      <c r="AG196" s="108"/>
      <c r="AH196" s="108"/>
      <c r="AI196" s="108"/>
      <c r="AJ196" s="108"/>
      <c r="AK196" s="108"/>
      <c r="AL196" s="108"/>
      <c r="AM196" s="108"/>
      <c r="AN196" s="108"/>
      <c r="AO196" s="108"/>
      <c r="AP196" s="108"/>
      <c r="AQ196" s="108"/>
      <c r="AR196" s="108"/>
      <c r="AS196" s="108"/>
      <c r="AT196" s="108"/>
      <c r="AU196" s="108"/>
      <c r="AV196" s="108"/>
      <c r="AW196" s="108"/>
      <c r="AX196" s="108"/>
      <c r="AY196" s="108"/>
      <c r="AZ196" s="108"/>
      <c r="BA196" s="108"/>
      <c r="BB196" s="108"/>
      <c r="BC196" s="108"/>
      <c r="BD196" s="108"/>
      <c r="BE196" s="108"/>
      <c r="BF196" s="108"/>
      <c r="BG196" s="108"/>
      <c r="BH196" s="108"/>
      <c r="BI196" s="108"/>
      <c r="BJ196" s="108"/>
      <c r="BK196" s="108"/>
      <c r="BL196" s="108"/>
      <c r="BM196" s="108"/>
    </row>
    <row r="197" spans="1:65">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c r="AA197" s="108"/>
      <c r="AB197" s="108"/>
      <c r="AC197" s="108"/>
      <c r="AD197" s="108"/>
      <c r="AE197" s="108"/>
      <c r="AF197" s="108"/>
      <c r="AG197" s="108"/>
      <c r="AH197" s="108"/>
      <c r="AI197" s="108"/>
      <c r="AJ197" s="108"/>
      <c r="AK197" s="108"/>
      <c r="AL197" s="108"/>
      <c r="AM197" s="108"/>
      <c r="AN197" s="108"/>
      <c r="AO197" s="108"/>
      <c r="AP197" s="108"/>
      <c r="AQ197" s="108"/>
      <c r="AR197" s="108"/>
      <c r="AS197" s="108"/>
      <c r="AT197" s="108"/>
      <c r="AU197" s="108"/>
      <c r="AV197" s="108"/>
      <c r="AW197" s="108"/>
      <c r="AX197" s="108"/>
      <c r="AY197" s="108"/>
      <c r="AZ197" s="108"/>
      <c r="BA197" s="108"/>
      <c r="BB197" s="108"/>
      <c r="BC197" s="108"/>
      <c r="BD197" s="108"/>
      <c r="BE197" s="108"/>
      <c r="BF197" s="108"/>
      <c r="BG197" s="108"/>
      <c r="BH197" s="108"/>
      <c r="BI197" s="108"/>
      <c r="BJ197" s="108"/>
      <c r="BK197" s="108"/>
      <c r="BL197" s="108"/>
      <c r="BM197" s="108"/>
    </row>
    <row r="198" spans="1:65">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c r="AA198" s="108"/>
      <c r="AB198" s="108"/>
      <c r="AC198" s="108"/>
      <c r="AD198" s="108"/>
      <c r="AE198" s="108"/>
      <c r="AF198" s="108"/>
      <c r="AG198" s="108"/>
      <c r="AH198" s="108"/>
      <c r="AI198" s="108"/>
      <c r="AJ198" s="108"/>
      <c r="AK198" s="108"/>
      <c r="AL198" s="108"/>
      <c r="AM198" s="108"/>
      <c r="AN198" s="108"/>
      <c r="AO198" s="108"/>
      <c r="AP198" s="108"/>
      <c r="AQ198" s="108"/>
      <c r="AR198" s="108"/>
      <c r="AS198" s="108"/>
      <c r="AT198" s="108"/>
      <c r="AU198" s="108"/>
      <c r="AV198" s="108"/>
      <c r="AW198" s="108"/>
      <c r="AX198" s="108"/>
      <c r="AY198" s="108"/>
      <c r="AZ198" s="108"/>
      <c r="BA198" s="108"/>
      <c r="BB198" s="108"/>
      <c r="BC198" s="108"/>
      <c r="BD198" s="108"/>
      <c r="BE198" s="108"/>
      <c r="BF198" s="108"/>
      <c r="BG198" s="108"/>
      <c r="BH198" s="108"/>
      <c r="BI198" s="108"/>
      <c r="BJ198" s="108"/>
      <c r="BK198" s="108"/>
      <c r="BL198" s="108"/>
      <c r="BM198" s="108"/>
    </row>
    <row r="199" spans="1:65">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c r="AA199" s="108"/>
      <c r="AB199" s="108"/>
      <c r="AC199" s="108"/>
      <c r="AD199" s="108"/>
      <c r="AE199" s="108"/>
      <c r="AF199" s="108"/>
      <c r="AG199" s="108"/>
      <c r="AH199" s="108"/>
      <c r="AI199" s="108"/>
      <c r="AJ199" s="108"/>
      <c r="AK199" s="108"/>
      <c r="AL199" s="108"/>
      <c r="AM199" s="108"/>
      <c r="AN199" s="108"/>
      <c r="AO199" s="108"/>
      <c r="AP199" s="108"/>
      <c r="AQ199" s="108"/>
      <c r="AR199" s="108"/>
      <c r="AS199" s="108"/>
      <c r="AT199" s="108"/>
      <c r="AU199" s="108"/>
      <c r="AV199" s="108"/>
      <c r="AW199" s="108"/>
      <c r="AX199" s="108"/>
      <c r="AY199" s="108"/>
      <c r="AZ199" s="108"/>
      <c r="BA199" s="108"/>
      <c r="BB199" s="108"/>
      <c r="BC199" s="108"/>
      <c r="BD199" s="108"/>
      <c r="BE199" s="108"/>
      <c r="BF199" s="108"/>
      <c r="BG199" s="108"/>
      <c r="BH199" s="108"/>
      <c r="BI199" s="108"/>
      <c r="BJ199" s="108"/>
      <c r="BK199" s="108"/>
      <c r="BL199" s="108"/>
      <c r="BM199" s="108"/>
    </row>
    <row r="200" spans="1:65">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c r="AA200" s="108"/>
      <c r="AB200" s="108"/>
      <c r="AC200" s="108"/>
      <c r="AD200" s="108"/>
      <c r="AE200" s="108"/>
      <c r="AF200" s="108"/>
      <c r="AG200" s="108"/>
      <c r="AH200" s="108"/>
      <c r="AI200" s="108"/>
      <c r="AJ200" s="108"/>
      <c r="AK200" s="108"/>
      <c r="AL200" s="108"/>
      <c r="AM200" s="108"/>
      <c r="AN200" s="108"/>
      <c r="AO200" s="108"/>
      <c r="AP200" s="108"/>
      <c r="AQ200" s="108"/>
      <c r="AR200" s="108"/>
      <c r="AS200" s="108"/>
      <c r="AT200" s="108"/>
      <c r="AU200" s="108"/>
      <c r="AV200" s="108"/>
      <c r="AW200" s="108"/>
      <c r="AX200" s="108"/>
      <c r="AY200" s="108"/>
      <c r="AZ200" s="108"/>
      <c r="BA200" s="108"/>
      <c r="BB200" s="108"/>
      <c r="BC200" s="108"/>
      <c r="BD200" s="108"/>
      <c r="BE200" s="108"/>
      <c r="BF200" s="108"/>
      <c r="BG200" s="108"/>
      <c r="BH200" s="108"/>
      <c r="BI200" s="108"/>
      <c r="BJ200" s="108"/>
      <c r="BK200" s="108"/>
      <c r="BL200" s="108"/>
      <c r="BM200" s="108"/>
    </row>
    <row r="201" spans="1:65">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c r="AA201" s="108"/>
      <c r="AB201" s="108"/>
      <c r="AC201" s="108"/>
      <c r="AD201" s="108"/>
      <c r="AE201" s="108"/>
      <c r="AF201" s="108"/>
      <c r="AG201" s="108"/>
      <c r="AH201" s="108"/>
      <c r="AI201" s="108"/>
      <c r="AJ201" s="108"/>
      <c r="AK201" s="108"/>
      <c r="AL201" s="108"/>
      <c r="AM201" s="108"/>
      <c r="AN201" s="108"/>
      <c r="AO201" s="108"/>
      <c r="AP201" s="108"/>
      <c r="AQ201" s="108"/>
      <c r="AR201" s="108"/>
      <c r="AS201" s="108"/>
      <c r="AT201" s="108"/>
      <c r="AU201" s="108"/>
      <c r="AV201" s="108"/>
      <c r="AW201" s="108"/>
      <c r="AX201" s="108"/>
      <c r="AY201" s="108"/>
      <c r="AZ201" s="108"/>
      <c r="BA201" s="108"/>
      <c r="BB201" s="108"/>
      <c r="BC201" s="108"/>
      <c r="BD201" s="108"/>
      <c r="BE201" s="108"/>
      <c r="BF201" s="108"/>
      <c r="BG201" s="108"/>
      <c r="BH201" s="108"/>
      <c r="BI201" s="108"/>
      <c r="BJ201" s="108"/>
      <c r="BK201" s="108"/>
      <c r="BL201" s="108"/>
      <c r="BM201" s="108"/>
    </row>
    <row r="202" spans="1:65">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c r="AA202" s="108"/>
      <c r="AB202" s="108"/>
      <c r="AC202" s="108"/>
      <c r="AD202" s="108"/>
      <c r="AE202" s="108"/>
      <c r="AF202" s="108"/>
      <c r="AG202" s="108"/>
      <c r="AH202" s="108"/>
      <c r="AI202" s="108"/>
      <c r="AJ202" s="108"/>
      <c r="AK202" s="108"/>
      <c r="AL202" s="108"/>
      <c r="AM202" s="108"/>
      <c r="AN202" s="108"/>
      <c r="AO202" s="108"/>
      <c r="AP202" s="108"/>
      <c r="AQ202" s="108"/>
      <c r="AR202" s="108"/>
      <c r="AS202" s="108"/>
      <c r="AT202" s="108"/>
      <c r="AU202" s="108"/>
      <c r="AV202" s="108"/>
      <c r="AW202" s="108"/>
      <c r="AX202" s="108"/>
      <c r="AY202" s="108"/>
      <c r="AZ202" s="108"/>
      <c r="BA202" s="108"/>
      <c r="BB202" s="108"/>
      <c r="BC202" s="108"/>
      <c r="BD202" s="108"/>
      <c r="BE202" s="108"/>
      <c r="BF202" s="108"/>
      <c r="BG202" s="108"/>
      <c r="BH202" s="108"/>
      <c r="BI202" s="108"/>
      <c r="BJ202" s="108"/>
      <c r="BK202" s="108"/>
      <c r="BL202" s="108"/>
      <c r="BM202" s="108"/>
    </row>
    <row r="203" spans="1:65">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c r="AA203" s="108"/>
      <c r="AB203" s="108"/>
      <c r="AC203" s="108"/>
      <c r="AD203" s="108"/>
      <c r="AE203" s="108"/>
      <c r="AF203" s="108"/>
      <c r="AG203" s="108"/>
      <c r="AH203" s="108"/>
      <c r="AI203" s="108"/>
      <c r="AJ203" s="108"/>
      <c r="AK203" s="108"/>
      <c r="AL203" s="108"/>
      <c r="AM203" s="108"/>
      <c r="AN203" s="108"/>
      <c r="AO203" s="108"/>
      <c r="AP203" s="108"/>
      <c r="AQ203" s="108"/>
      <c r="AR203" s="108"/>
      <c r="AS203" s="108"/>
      <c r="AT203" s="108"/>
      <c r="AU203" s="108"/>
      <c r="AV203" s="108"/>
      <c r="AW203" s="108"/>
      <c r="AX203" s="108"/>
      <c r="AY203" s="108"/>
      <c r="AZ203" s="108"/>
      <c r="BA203" s="108"/>
      <c r="BB203" s="108"/>
      <c r="BC203" s="108"/>
      <c r="BD203" s="108"/>
      <c r="BE203" s="108"/>
      <c r="BF203" s="108"/>
      <c r="BG203" s="108"/>
      <c r="BH203" s="108"/>
      <c r="BI203" s="108"/>
      <c r="BJ203" s="108"/>
      <c r="BK203" s="108"/>
      <c r="BL203" s="108"/>
      <c r="BM203" s="108"/>
    </row>
    <row r="204" spans="1:65">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c r="AA204" s="108"/>
      <c r="AB204" s="108"/>
      <c r="AC204" s="108"/>
      <c r="AD204" s="108"/>
      <c r="AE204" s="108"/>
      <c r="AF204" s="108"/>
      <c r="AG204" s="108"/>
      <c r="AH204" s="108"/>
      <c r="AI204" s="108"/>
      <c r="AJ204" s="108"/>
      <c r="AK204" s="108"/>
      <c r="AL204" s="108"/>
      <c r="AM204" s="108"/>
      <c r="AN204" s="108"/>
      <c r="AO204" s="108"/>
      <c r="AP204" s="108"/>
      <c r="AQ204" s="108"/>
      <c r="AR204" s="108"/>
      <c r="AS204" s="108"/>
      <c r="AT204" s="108"/>
      <c r="AU204" s="108"/>
      <c r="AV204" s="108"/>
      <c r="AW204" s="108"/>
      <c r="AX204" s="108"/>
      <c r="AY204" s="108"/>
      <c r="AZ204" s="108"/>
      <c r="BA204" s="108"/>
      <c r="BB204" s="108"/>
      <c r="BC204" s="108"/>
      <c r="BD204" s="108"/>
      <c r="BE204" s="108"/>
      <c r="BF204" s="108"/>
      <c r="BG204" s="108"/>
      <c r="BH204" s="108"/>
      <c r="BI204" s="108"/>
      <c r="BJ204" s="108"/>
      <c r="BK204" s="108"/>
      <c r="BL204" s="108"/>
      <c r="BM204" s="108"/>
    </row>
    <row r="205" spans="1:65">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c r="AA205" s="108"/>
      <c r="AB205" s="108"/>
      <c r="AC205" s="108"/>
      <c r="AD205" s="108"/>
      <c r="AE205" s="108"/>
      <c r="AF205" s="108"/>
      <c r="AG205" s="108"/>
      <c r="AH205" s="108"/>
      <c r="AI205" s="108"/>
      <c r="AJ205" s="108"/>
      <c r="AK205" s="108"/>
      <c r="AL205" s="108"/>
      <c r="AM205" s="108"/>
      <c r="AN205" s="108"/>
      <c r="AO205" s="108"/>
      <c r="AP205" s="108"/>
      <c r="AQ205" s="108"/>
      <c r="AR205" s="108"/>
      <c r="AS205" s="108"/>
      <c r="AT205" s="108"/>
      <c r="AU205" s="108"/>
      <c r="AV205" s="108"/>
      <c r="AW205" s="108"/>
      <c r="AX205" s="108"/>
      <c r="AY205" s="108"/>
      <c r="AZ205" s="108"/>
      <c r="BA205" s="108"/>
      <c r="BB205" s="108"/>
      <c r="BC205" s="108"/>
      <c r="BD205" s="108"/>
      <c r="BE205" s="108"/>
      <c r="BF205" s="108"/>
      <c r="BG205" s="108"/>
      <c r="BH205" s="108"/>
      <c r="BI205" s="108"/>
      <c r="BJ205" s="108"/>
      <c r="BK205" s="108"/>
      <c r="BL205" s="108"/>
      <c r="BM205" s="108"/>
    </row>
    <row r="206" spans="1:65">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c r="AA206" s="108"/>
      <c r="AB206" s="108"/>
      <c r="AC206" s="108"/>
      <c r="AD206" s="108"/>
      <c r="AE206" s="108"/>
      <c r="AF206" s="108"/>
      <c r="AG206" s="108"/>
      <c r="AH206" s="108"/>
      <c r="AI206" s="108"/>
      <c r="AJ206" s="108"/>
      <c r="AK206" s="108"/>
      <c r="AL206" s="108"/>
      <c r="AM206" s="108"/>
      <c r="AN206" s="108"/>
      <c r="AO206" s="108"/>
      <c r="AP206" s="108"/>
      <c r="AQ206" s="108"/>
      <c r="AR206" s="108"/>
      <c r="AS206" s="108"/>
      <c r="AT206" s="108"/>
      <c r="AU206" s="108"/>
      <c r="AV206" s="108"/>
      <c r="AW206" s="108"/>
      <c r="AX206" s="108"/>
      <c r="AY206" s="108"/>
      <c r="AZ206" s="108"/>
      <c r="BA206" s="108"/>
      <c r="BB206" s="108"/>
      <c r="BC206" s="108"/>
      <c r="BD206" s="108"/>
      <c r="BE206" s="108"/>
      <c r="BF206" s="108"/>
      <c r="BG206" s="108"/>
      <c r="BH206" s="108"/>
      <c r="BI206" s="108"/>
      <c r="BJ206" s="108"/>
      <c r="BK206" s="108"/>
      <c r="BL206" s="108"/>
      <c r="BM206" s="108"/>
    </row>
    <row r="207" spans="1:65">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c r="AA207" s="108"/>
      <c r="AB207" s="108"/>
      <c r="AC207" s="108"/>
      <c r="AD207" s="108"/>
      <c r="AE207" s="108"/>
      <c r="AF207" s="108"/>
      <c r="AG207" s="108"/>
      <c r="AH207" s="108"/>
      <c r="AI207" s="108"/>
      <c r="AJ207" s="108"/>
      <c r="AK207" s="108"/>
      <c r="AL207" s="108"/>
      <c r="AM207" s="108"/>
      <c r="AN207" s="108"/>
      <c r="AO207" s="108"/>
      <c r="AP207" s="108"/>
      <c r="AQ207" s="108"/>
      <c r="AR207" s="108"/>
      <c r="AS207" s="108"/>
      <c r="AT207" s="108"/>
      <c r="AU207" s="108"/>
      <c r="AV207" s="108"/>
      <c r="AW207" s="108"/>
      <c r="AX207" s="108"/>
      <c r="AY207" s="108"/>
      <c r="AZ207" s="108"/>
      <c r="BA207" s="108"/>
      <c r="BB207" s="108"/>
      <c r="BC207" s="108"/>
      <c r="BD207" s="108"/>
      <c r="BE207" s="108"/>
      <c r="BF207" s="108"/>
      <c r="BG207" s="108"/>
      <c r="BH207" s="108"/>
      <c r="BI207" s="108"/>
      <c r="BJ207" s="108"/>
      <c r="BK207" s="108"/>
      <c r="BL207" s="108"/>
      <c r="BM207" s="108"/>
    </row>
    <row r="208" spans="1:65">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c r="AA208" s="108"/>
      <c r="AB208" s="108"/>
      <c r="AC208" s="108"/>
      <c r="AD208" s="108"/>
      <c r="AE208" s="108"/>
      <c r="AF208" s="108"/>
      <c r="AG208" s="108"/>
      <c r="AH208" s="108"/>
      <c r="AI208" s="108"/>
      <c r="AJ208" s="108"/>
      <c r="AK208" s="108"/>
      <c r="AL208" s="108"/>
      <c r="AM208" s="108"/>
      <c r="AN208" s="108"/>
      <c r="AO208" s="108"/>
      <c r="AP208" s="108"/>
      <c r="AQ208" s="108"/>
      <c r="AR208" s="108"/>
      <c r="AS208" s="108"/>
      <c r="AT208" s="108"/>
      <c r="AU208" s="108"/>
      <c r="AV208" s="108"/>
      <c r="AW208" s="108"/>
      <c r="AX208" s="108"/>
      <c r="AY208" s="108"/>
      <c r="AZ208" s="108"/>
      <c r="BA208" s="108"/>
      <c r="BB208" s="108"/>
      <c r="BC208" s="108"/>
      <c r="BD208" s="108"/>
      <c r="BE208" s="108"/>
      <c r="BF208" s="108"/>
      <c r="BG208" s="108"/>
      <c r="BH208" s="108"/>
      <c r="BI208" s="108"/>
      <c r="BJ208" s="108"/>
      <c r="BK208" s="108"/>
      <c r="BL208" s="108"/>
      <c r="BM208" s="108"/>
    </row>
    <row r="209" spans="1:65">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c r="AA209" s="108"/>
      <c r="AB209" s="108"/>
      <c r="AC209" s="108"/>
      <c r="AD209" s="108"/>
      <c r="AE209" s="108"/>
      <c r="AF209" s="108"/>
      <c r="AG209" s="108"/>
      <c r="AH209" s="108"/>
      <c r="AI209" s="108"/>
      <c r="AJ209" s="108"/>
      <c r="AK209" s="108"/>
      <c r="AL209" s="108"/>
      <c r="AM209" s="108"/>
      <c r="AN209" s="108"/>
      <c r="AO209" s="108"/>
      <c r="AP209" s="108"/>
      <c r="AQ209" s="108"/>
      <c r="AR209" s="108"/>
      <c r="AS209" s="108"/>
      <c r="AT209" s="108"/>
      <c r="AU209" s="108"/>
      <c r="AV209" s="108"/>
      <c r="AW209" s="108"/>
      <c r="AX209" s="108"/>
      <c r="AY209" s="108"/>
      <c r="AZ209" s="108"/>
      <c r="BA209" s="108"/>
      <c r="BB209" s="108"/>
      <c r="BC209" s="108"/>
      <c r="BD209" s="108"/>
      <c r="BE209" s="108"/>
      <c r="BF209" s="108"/>
      <c r="BG209" s="108"/>
      <c r="BH209" s="108"/>
      <c r="BI209" s="108"/>
      <c r="BJ209" s="108"/>
      <c r="BK209" s="108"/>
      <c r="BL209" s="108"/>
      <c r="BM209" s="108"/>
    </row>
    <row r="210" spans="1:65">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c r="AA210" s="108"/>
      <c r="AB210" s="108"/>
      <c r="AC210" s="108"/>
      <c r="AD210" s="108"/>
      <c r="AE210" s="108"/>
      <c r="AF210" s="108"/>
      <c r="AG210" s="108"/>
      <c r="AH210" s="108"/>
      <c r="AI210" s="108"/>
      <c r="AJ210" s="108"/>
      <c r="AK210" s="108"/>
      <c r="AL210" s="108"/>
      <c r="AM210" s="108"/>
      <c r="AN210" s="108"/>
      <c r="AO210" s="108"/>
      <c r="AP210" s="108"/>
      <c r="AQ210" s="108"/>
      <c r="AR210" s="108"/>
      <c r="AS210" s="108"/>
      <c r="AT210" s="108"/>
      <c r="AU210" s="108"/>
      <c r="AV210" s="108"/>
      <c r="AW210" s="108"/>
      <c r="AX210" s="108"/>
      <c r="AY210" s="108"/>
      <c r="AZ210" s="108"/>
      <c r="BA210" s="108"/>
      <c r="BB210" s="108"/>
      <c r="BC210" s="108"/>
      <c r="BD210" s="108"/>
      <c r="BE210" s="108"/>
      <c r="BF210" s="108"/>
      <c r="BG210" s="108"/>
      <c r="BH210" s="108"/>
      <c r="BI210" s="108"/>
      <c r="BJ210" s="108"/>
      <c r="BK210" s="108"/>
      <c r="BL210" s="108"/>
      <c r="BM210" s="108"/>
    </row>
    <row r="211" spans="1:65">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c r="AA211" s="108"/>
      <c r="AB211" s="108"/>
      <c r="AC211" s="108"/>
      <c r="AD211" s="108"/>
      <c r="AE211" s="108"/>
      <c r="AF211" s="108"/>
      <c r="AG211" s="108"/>
      <c r="AH211" s="108"/>
      <c r="AI211" s="108"/>
      <c r="AJ211" s="108"/>
      <c r="AK211" s="108"/>
      <c r="AL211" s="108"/>
      <c r="AM211" s="108"/>
      <c r="AN211" s="108"/>
      <c r="AO211" s="108"/>
      <c r="AP211" s="108"/>
      <c r="AQ211" s="108"/>
      <c r="AR211" s="108"/>
      <c r="AS211" s="108"/>
      <c r="AT211" s="108"/>
      <c r="AU211" s="108"/>
      <c r="AV211" s="108"/>
      <c r="AW211" s="108"/>
      <c r="AX211" s="108"/>
      <c r="AY211" s="108"/>
      <c r="AZ211" s="108"/>
      <c r="BA211" s="108"/>
      <c r="BB211" s="108"/>
      <c r="BC211" s="108"/>
      <c r="BD211" s="108"/>
      <c r="BE211" s="108"/>
      <c r="BF211" s="108"/>
      <c r="BG211" s="108"/>
      <c r="BH211" s="108"/>
      <c r="BI211" s="108"/>
      <c r="BJ211" s="108"/>
      <c r="BK211" s="108"/>
      <c r="BL211" s="108"/>
      <c r="BM211" s="108"/>
    </row>
    <row r="212" spans="1:65">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c r="AA212" s="108"/>
      <c r="AB212" s="108"/>
      <c r="AC212" s="108"/>
      <c r="AD212" s="108"/>
      <c r="AE212" s="108"/>
      <c r="AF212" s="108"/>
      <c r="AG212" s="108"/>
      <c r="AH212" s="108"/>
      <c r="AI212" s="108"/>
      <c r="AJ212" s="108"/>
      <c r="AK212" s="108"/>
      <c r="AL212" s="108"/>
      <c r="AM212" s="108"/>
      <c r="AN212" s="108"/>
      <c r="AO212" s="108"/>
      <c r="AP212" s="108"/>
      <c r="AQ212" s="108"/>
      <c r="AR212" s="108"/>
      <c r="AS212" s="108"/>
      <c r="AT212" s="108"/>
      <c r="AU212" s="108"/>
      <c r="AV212" s="108"/>
      <c r="AW212" s="108"/>
      <c r="AX212" s="108"/>
      <c r="AY212" s="108"/>
      <c r="AZ212" s="108"/>
      <c r="BA212" s="108"/>
      <c r="BB212" s="108"/>
      <c r="BC212" s="108"/>
      <c r="BD212" s="108"/>
      <c r="BE212" s="108"/>
      <c r="BF212" s="108"/>
      <c r="BG212" s="108"/>
      <c r="BH212" s="108"/>
      <c r="BI212" s="108"/>
      <c r="BJ212" s="108"/>
      <c r="BK212" s="108"/>
      <c r="BL212" s="108"/>
      <c r="BM212" s="108"/>
    </row>
    <row r="213" spans="1:65">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c r="AA213" s="108"/>
      <c r="AB213" s="108"/>
      <c r="AC213" s="108"/>
      <c r="AD213" s="108"/>
      <c r="AE213" s="108"/>
      <c r="AF213" s="108"/>
      <c r="AG213" s="108"/>
      <c r="AH213" s="108"/>
      <c r="AI213" s="108"/>
      <c r="AJ213" s="108"/>
      <c r="AK213" s="108"/>
      <c r="AL213" s="108"/>
      <c r="AM213" s="108"/>
      <c r="AN213" s="108"/>
      <c r="AO213" s="108"/>
      <c r="AP213" s="108"/>
      <c r="AQ213" s="108"/>
      <c r="AR213" s="108"/>
      <c r="AS213" s="108"/>
      <c r="AT213" s="108"/>
      <c r="AU213" s="108"/>
      <c r="AV213" s="108"/>
      <c r="AW213" s="108"/>
      <c r="AX213" s="108"/>
      <c r="AY213" s="108"/>
      <c r="AZ213" s="108"/>
      <c r="BA213" s="108"/>
      <c r="BB213" s="108"/>
      <c r="BC213" s="108"/>
      <c r="BD213" s="108"/>
      <c r="BE213" s="108"/>
      <c r="BF213" s="108"/>
      <c r="BG213" s="108"/>
      <c r="BH213" s="108"/>
      <c r="BI213" s="108"/>
      <c r="BJ213" s="108"/>
      <c r="BK213" s="108"/>
      <c r="BL213" s="108"/>
      <c r="BM213" s="108"/>
    </row>
    <row r="214" spans="1:65">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c r="AA214" s="108"/>
      <c r="AB214" s="108"/>
      <c r="AC214" s="108"/>
      <c r="AD214" s="108"/>
      <c r="AE214" s="108"/>
      <c r="AF214" s="108"/>
      <c r="AG214" s="108"/>
      <c r="AH214" s="108"/>
      <c r="AI214" s="108"/>
      <c r="AJ214" s="108"/>
      <c r="AK214" s="108"/>
      <c r="AL214" s="108"/>
      <c r="AM214" s="108"/>
      <c r="AN214" s="108"/>
      <c r="AO214" s="108"/>
      <c r="AP214" s="108"/>
      <c r="AQ214" s="108"/>
      <c r="AR214" s="108"/>
      <c r="AS214" s="108"/>
      <c r="AT214" s="108"/>
      <c r="AU214" s="108"/>
      <c r="AV214" s="108"/>
      <c r="AW214" s="108"/>
      <c r="AX214" s="108"/>
      <c r="AY214" s="108"/>
      <c r="AZ214" s="108"/>
      <c r="BA214" s="108"/>
      <c r="BB214" s="108"/>
      <c r="BC214" s="108"/>
      <c r="BD214" s="108"/>
      <c r="BE214" s="108"/>
      <c r="BF214" s="108"/>
      <c r="BG214" s="108"/>
      <c r="BH214" s="108"/>
      <c r="BI214" s="108"/>
      <c r="BJ214" s="108"/>
      <c r="BK214" s="108"/>
      <c r="BL214" s="108"/>
      <c r="BM214" s="108"/>
    </row>
    <row r="215" spans="1:65">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c r="AA215" s="108"/>
      <c r="AB215" s="108"/>
      <c r="AC215" s="108"/>
      <c r="AD215" s="108"/>
      <c r="AE215" s="108"/>
      <c r="AF215" s="108"/>
      <c r="AG215" s="108"/>
      <c r="AH215" s="108"/>
      <c r="AI215" s="108"/>
      <c r="AJ215" s="108"/>
      <c r="AK215" s="108"/>
      <c r="AL215" s="108"/>
      <c r="AM215" s="108"/>
      <c r="AN215" s="108"/>
      <c r="AO215" s="108"/>
      <c r="AP215" s="108"/>
      <c r="AQ215" s="108"/>
      <c r="AR215" s="108"/>
      <c r="AS215" s="108"/>
      <c r="AT215" s="108"/>
      <c r="AU215" s="108"/>
      <c r="AV215" s="108"/>
      <c r="AW215" s="108"/>
      <c r="AX215" s="108"/>
      <c r="AY215" s="108"/>
      <c r="AZ215" s="108"/>
      <c r="BA215" s="108"/>
      <c r="BB215" s="108"/>
      <c r="BC215" s="108"/>
      <c r="BD215" s="108"/>
      <c r="BE215" s="108"/>
      <c r="BF215" s="108"/>
      <c r="BG215" s="108"/>
      <c r="BH215" s="108"/>
      <c r="BI215" s="108"/>
      <c r="BJ215" s="108"/>
      <c r="BK215" s="108"/>
      <c r="BL215" s="108"/>
      <c r="BM215" s="108"/>
    </row>
    <row r="216" spans="1:65">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c r="AA216" s="108"/>
      <c r="AB216" s="108"/>
      <c r="AC216" s="108"/>
      <c r="AD216" s="108"/>
      <c r="AE216" s="108"/>
      <c r="AF216" s="108"/>
      <c r="AG216" s="108"/>
      <c r="AH216" s="108"/>
      <c r="AI216" s="108"/>
      <c r="AJ216" s="108"/>
      <c r="AK216" s="108"/>
      <c r="AL216" s="108"/>
      <c r="AM216" s="108"/>
      <c r="AN216" s="108"/>
      <c r="AO216" s="108"/>
      <c r="AP216" s="108"/>
      <c r="AQ216" s="108"/>
      <c r="AR216" s="108"/>
      <c r="AS216" s="108"/>
      <c r="AT216" s="108"/>
      <c r="AU216" s="108"/>
      <c r="AV216" s="108"/>
      <c r="AW216" s="108"/>
      <c r="AX216" s="108"/>
      <c r="AY216" s="108"/>
      <c r="AZ216" s="108"/>
      <c r="BA216" s="108"/>
      <c r="BB216" s="108"/>
      <c r="BC216" s="108"/>
      <c r="BD216" s="108"/>
      <c r="BE216" s="108"/>
      <c r="BF216" s="108"/>
      <c r="BG216" s="108"/>
      <c r="BH216" s="108"/>
      <c r="BI216" s="108"/>
      <c r="BJ216" s="108"/>
      <c r="BK216" s="108"/>
      <c r="BL216" s="108"/>
      <c r="BM216" s="108"/>
    </row>
    <row r="217" spans="1:65">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c r="AA217" s="108"/>
      <c r="AB217" s="108"/>
      <c r="AC217" s="108"/>
      <c r="AD217" s="108"/>
      <c r="AE217" s="108"/>
      <c r="AF217" s="108"/>
      <c r="AG217" s="108"/>
      <c r="AH217" s="108"/>
      <c r="AI217" s="108"/>
      <c r="AJ217" s="108"/>
      <c r="AK217" s="108"/>
      <c r="AL217" s="108"/>
      <c r="AM217" s="108"/>
      <c r="AN217" s="108"/>
      <c r="AO217" s="108"/>
      <c r="AP217" s="108"/>
      <c r="AQ217" s="108"/>
      <c r="AR217" s="108"/>
      <c r="AS217" s="108"/>
      <c r="AT217" s="108"/>
      <c r="AU217" s="108"/>
      <c r="AV217" s="108"/>
      <c r="AW217" s="108"/>
      <c r="AX217" s="108"/>
      <c r="AY217" s="108"/>
      <c r="AZ217" s="108"/>
      <c r="BA217" s="108"/>
      <c r="BB217" s="108"/>
      <c r="BC217" s="108"/>
      <c r="BD217" s="108"/>
      <c r="BE217" s="108"/>
      <c r="BF217" s="108"/>
      <c r="BG217" s="108"/>
      <c r="BH217" s="108"/>
      <c r="BI217" s="108"/>
      <c r="BJ217" s="108"/>
      <c r="BK217" s="108"/>
      <c r="BL217" s="108"/>
      <c r="BM217" s="108"/>
    </row>
    <row r="218" spans="1:65">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c r="AA218" s="108"/>
      <c r="AB218" s="108"/>
      <c r="AC218" s="108"/>
      <c r="AD218" s="108"/>
      <c r="AE218" s="108"/>
      <c r="AF218" s="108"/>
      <c r="AG218" s="108"/>
      <c r="AH218" s="108"/>
      <c r="AI218" s="108"/>
      <c r="AJ218" s="108"/>
      <c r="AK218" s="108"/>
      <c r="AL218" s="108"/>
      <c r="AM218" s="108"/>
      <c r="AN218" s="108"/>
      <c r="AO218" s="108"/>
      <c r="AP218" s="108"/>
      <c r="AQ218" s="108"/>
      <c r="AR218" s="108"/>
      <c r="AS218" s="108"/>
      <c r="AT218" s="108"/>
      <c r="AU218" s="108"/>
      <c r="AV218" s="108"/>
      <c r="AW218" s="108"/>
      <c r="AX218" s="108"/>
      <c r="AY218" s="108"/>
      <c r="AZ218" s="108"/>
      <c r="BA218" s="108"/>
      <c r="BB218" s="108"/>
      <c r="BC218" s="108"/>
      <c r="BD218" s="108"/>
      <c r="BE218" s="108"/>
      <c r="BF218" s="108"/>
      <c r="BG218" s="108"/>
      <c r="BH218" s="108"/>
      <c r="BI218" s="108"/>
      <c r="BJ218" s="108"/>
      <c r="BK218" s="108"/>
      <c r="BL218" s="108"/>
      <c r="BM218" s="108"/>
    </row>
    <row r="219" spans="1:65">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c r="AA219" s="108"/>
      <c r="AB219" s="108"/>
      <c r="AC219" s="108"/>
      <c r="AD219" s="108"/>
      <c r="AE219" s="108"/>
      <c r="AF219" s="108"/>
      <c r="AG219" s="108"/>
      <c r="AH219" s="108"/>
      <c r="AI219" s="108"/>
      <c r="AJ219" s="108"/>
      <c r="AK219" s="108"/>
      <c r="AL219" s="108"/>
      <c r="AM219" s="108"/>
      <c r="AN219" s="108"/>
      <c r="AO219" s="108"/>
      <c r="AP219" s="108"/>
      <c r="AQ219" s="108"/>
      <c r="AR219" s="108"/>
      <c r="AS219" s="108"/>
      <c r="AT219" s="108"/>
      <c r="AU219" s="108"/>
      <c r="AV219" s="108"/>
      <c r="AW219" s="108"/>
      <c r="AX219" s="108"/>
      <c r="AY219" s="108"/>
      <c r="AZ219" s="108"/>
      <c r="BA219" s="108"/>
      <c r="BB219" s="108"/>
      <c r="BC219" s="108"/>
      <c r="BD219" s="108"/>
      <c r="BE219" s="108"/>
      <c r="BF219" s="108"/>
      <c r="BG219" s="108"/>
      <c r="BH219" s="108"/>
      <c r="BI219" s="108"/>
      <c r="BJ219" s="108"/>
      <c r="BK219" s="108"/>
      <c r="BL219" s="108"/>
      <c r="BM219" s="108"/>
    </row>
    <row r="220" spans="1:65">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c r="AA220" s="108"/>
      <c r="AB220" s="108"/>
      <c r="AC220" s="108"/>
      <c r="AD220" s="108"/>
      <c r="AE220" s="108"/>
      <c r="AF220" s="108"/>
      <c r="AG220" s="108"/>
      <c r="AH220" s="108"/>
      <c r="AI220" s="108"/>
      <c r="AJ220" s="108"/>
      <c r="AK220" s="108"/>
      <c r="AL220" s="108"/>
      <c r="AM220" s="108"/>
      <c r="AN220" s="108"/>
      <c r="AO220" s="108"/>
      <c r="AP220" s="108"/>
      <c r="AQ220" s="108"/>
      <c r="AR220" s="108"/>
      <c r="AS220" s="108"/>
      <c r="AT220" s="108"/>
      <c r="AU220" s="108"/>
      <c r="AV220" s="108"/>
      <c r="AW220" s="108"/>
      <c r="AX220" s="108"/>
      <c r="AY220" s="108"/>
      <c r="AZ220" s="108"/>
      <c r="BA220" s="108"/>
      <c r="BB220" s="108"/>
      <c r="BC220" s="108"/>
      <c r="BD220" s="108"/>
      <c r="BE220" s="108"/>
      <c r="BF220" s="108"/>
      <c r="BG220" s="108"/>
      <c r="BH220" s="108"/>
      <c r="BI220" s="108"/>
      <c r="BJ220" s="108"/>
      <c r="BK220" s="108"/>
      <c r="BL220" s="108"/>
      <c r="BM220" s="108"/>
    </row>
    <row r="221" spans="1:65">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c r="AA221" s="108"/>
      <c r="AB221" s="108"/>
      <c r="AC221" s="108"/>
      <c r="AD221" s="108"/>
      <c r="AE221" s="108"/>
      <c r="AF221" s="108"/>
      <c r="AG221" s="108"/>
      <c r="AH221" s="108"/>
      <c r="AI221" s="108"/>
      <c r="AJ221" s="108"/>
      <c r="AK221" s="108"/>
      <c r="AL221" s="108"/>
      <c r="AM221" s="108"/>
      <c r="AN221" s="108"/>
      <c r="AO221" s="108"/>
      <c r="AP221" s="108"/>
      <c r="AQ221" s="108"/>
      <c r="AR221" s="108"/>
      <c r="AS221" s="108"/>
      <c r="AT221" s="108"/>
      <c r="AU221" s="108"/>
      <c r="AV221" s="108"/>
      <c r="AW221" s="108"/>
      <c r="AX221" s="108"/>
      <c r="AY221" s="108"/>
      <c r="AZ221" s="108"/>
      <c r="BA221" s="108"/>
      <c r="BB221" s="108"/>
      <c r="BC221" s="108"/>
      <c r="BD221" s="108"/>
      <c r="BE221" s="108"/>
      <c r="BF221" s="108"/>
      <c r="BG221" s="108"/>
      <c r="BH221" s="108"/>
      <c r="BI221" s="108"/>
      <c r="BJ221" s="108"/>
      <c r="BK221" s="108"/>
      <c r="BL221" s="108"/>
      <c r="BM221" s="108"/>
    </row>
    <row r="222" spans="1:65">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c r="AA222" s="108"/>
      <c r="AB222" s="108"/>
      <c r="AC222" s="108"/>
      <c r="AD222" s="108"/>
      <c r="AE222" s="108"/>
      <c r="AF222" s="108"/>
      <c r="AG222" s="108"/>
      <c r="AH222" s="108"/>
      <c r="AI222" s="108"/>
      <c r="AJ222" s="108"/>
      <c r="AK222" s="108"/>
      <c r="AL222" s="108"/>
      <c r="AM222" s="108"/>
      <c r="AN222" s="108"/>
      <c r="AO222" s="108"/>
      <c r="AP222" s="108"/>
      <c r="AQ222" s="108"/>
      <c r="AR222" s="108"/>
      <c r="AS222" s="108"/>
      <c r="AT222" s="108"/>
      <c r="AU222" s="108"/>
      <c r="AV222" s="108"/>
      <c r="AW222" s="108"/>
      <c r="AX222" s="108"/>
      <c r="AY222" s="108"/>
      <c r="AZ222" s="108"/>
      <c r="BA222" s="108"/>
      <c r="BB222" s="108"/>
      <c r="BC222" s="108"/>
      <c r="BD222" s="108"/>
      <c r="BE222" s="108"/>
      <c r="BF222" s="108"/>
      <c r="BG222" s="108"/>
      <c r="BH222" s="108"/>
      <c r="BI222" s="108"/>
      <c r="BJ222" s="108"/>
      <c r="BK222" s="108"/>
      <c r="BL222" s="108"/>
      <c r="BM222" s="108"/>
    </row>
    <row r="223" spans="1:65">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c r="AA223" s="108"/>
      <c r="AB223" s="108"/>
      <c r="AC223" s="108"/>
      <c r="AD223" s="108"/>
      <c r="AE223" s="108"/>
      <c r="AF223" s="108"/>
      <c r="AG223" s="108"/>
      <c r="AH223" s="108"/>
      <c r="AI223" s="108"/>
      <c r="AJ223" s="108"/>
      <c r="AK223" s="108"/>
      <c r="AL223" s="108"/>
      <c r="AM223" s="108"/>
      <c r="AN223" s="108"/>
      <c r="AO223" s="108"/>
      <c r="AP223" s="108"/>
      <c r="AQ223" s="108"/>
      <c r="AR223" s="108"/>
      <c r="AS223" s="108"/>
      <c r="AT223" s="108"/>
      <c r="AU223" s="108"/>
      <c r="AV223" s="108"/>
      <c r="AW223" s="108"/>
      <c r="AX223" s="108"/>
      <c r="AY223" s="108"/>
      <c r="AZ223" s="108"/>
      <c r="BA223" s="108"/>
      <c r="BB223" s="108"/>
      <c r="BC223" s="108"/>
      <c r="BD223" s="108"/>
      <c r="BE223" s="108"/>
      <c r="BF223" s="108"/>
      <c r="BG223" s="108"/>
      <c r="BH223" s="108"/>
      <c r="BI223" s="108"/>
      <c r="BJ223" s="108"/>
      <c r="BK223" s="108"/>
      <c r="BL223" s="108"/>
      <c r="BM223" s="108"/>
    </row>
    <row r="224" spans="1:65">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c r="AA224" s="108"/>
      <c r="AB224" s="108"/>
      <c r="AC224" s="108"/>
      <c r="AD224" s="108"/>
      <c r="AE224" s="108"/>
      <c r="AF224" s="108"/>
      <c r="AG224" s="108"/>
      <c r="AH224" s="108"/>
      <c r="AI224" s="108"/>
      <c r="AJ224" s="108"/>
      <c r="AK224" s="108"/>
      <c r="AL224" s="108"/>
      <c r="AM224" s="108"/>
      <c r="AN224" s="108"/>
      <c r="AO224" s="108"/>
      <c r="AP224" s="108"/>
      <c r="AQ224" s="108"/>
      <c r="AR224" s="108"/>
      <c r="AS224" s="108"/>
      <c r="AT224" s="108"/>
      <c r="AU224" s="108"/>
      <c r="AV224" s="108"/>
      <c r="AW224" s="108"/>
      <c r="AX224" s="108"/>
      <c r="AY224" s="108"/>
      <c r="AZ224" s="108"/>
      <c r="BA224" s="108"/>
      <c r="BB224" s="108"/>
      <c r="BC224" s="108"/>
      <c r="BD224" s="108"/>
      <c r="BE224" s="108"/>
      <c r="BF224" s="108"/>
      <c r="BG224" s="108"/>
      <c r="BH224" s="108"/>
      <c r="BI224" s="108"/>
      <c r="BJ224" s="108"/>
      <c r="BK224" s="108"/>
      <c r="BL224" s="108"/>
      <c r="BM224" s="108"/>
    </row>
    <row r="225" spans="1:65">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c r="AA225" s="108"/>
      <c r="AB225" s="108"/>
      <c r="AC225" s="108"/>
      <c r="AD225" s="108"/>
      <c r="AE225" s="108"/>
      <c r="AF225" s="108"/>
      <c r="AG225" s="108"/>
      <c r="AH225" s="108"/>
      <c r="AI225" s="108"/>
      <c r="AJ225" s="108"/>
      <c r="AK225" s="108"/>
      <c r="AL225" s="108"/>
      <c r="AM225" s="108"/>
      <c r="AN225" s="108"/>
      <c r="AO225" s="108"/>
      <c r="AP225" s="108"/>
      <c r="AQ225" s="108"/>
      <c r="AR225" s="108"/>
      <c r="AS225" s="108"/>
      <c r="AT225" s="108"/>
      <c r="AU225" s="108"/>
      <c r="AV225" s="108"/>
      <c r="AW225" s="108"/>
      <c r="AX225" s="108"/>
      <c r="AY225" s="108"/>
      <c r="AZ225" s="108"/>
      <c r="BA225" s="108"/>
      <c r="BB225" s="108"/>
      <c r="BC225" s="108"/>
      <c r="BD225" s="108"/>
      <c r="BE225" s="108"/>
      <c r="BF225" s="108"/>
      <c r="BG225" s="108"/>
      <c r="BH225" s="108"/>
      <c r="BI225" s="108"/>
      <c r="BJ225" s="108"/>
      <c r="BK225" s="108"/>
      <c r="BL225" s="108"/>
      <c r="BM225" s="108"/>
    </row>
    <row r="226" spans="1:65">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c r="AA226" s="108"/>
      <c r="AB226" s="108"/>
      <c r="AC226" s="108"/>
      <c r="AD226" s="108"/>
      <c r="AE226" s="108"/>
      <c r="AF226" s="108"/>
      <c r="AG226" s="108"/>
      <c r="AH226" s="108"/>
      <c r="AI226" s="108"/>
      <c r="AJ226" s="108"/>
      <c r="AK226" s="108"/>
      <c r="AL226" s="108"/>
      <c r="AM226" s="108"/>
      <c r="AN226" s="108"/>
      <c r="AO226" s="108"/>
      <c r="AP226" s="108"/>
      <c r="AQ226" s="108"/>
      <c r="AR226" s="108"/>
      <c r="AS226" s="108"/>
      <c r="AT226" s="108"/>
      <c r="AU226" s="108"/>
      <c r="AV226" s="108"/>
      <c r="AW226" s="108"/>
      <c r="AX226" s="108"/>
      <c r="AY226" s="108"/>
      <c r="AZ226" s="108"/>
      <c r="BA226" s="108"/>
      <c r="BB226" s="108"/>
      <c r="BC226" s="108"/>
      <c r="BD226" s="108"/>
      <c r="BE226" s="108"/>
      <c r="BF226" s="108"/>
      <c r="BG226" s="108"/>
      <c r="BH226" s="108"/>
      <c r="BI226" s="108"/>
      <c r="BJ226" s="108"/>
      <c r="BK226" s="108"/>
      <c r="BL226" s="108"/>
      <c r="BM226" s="108"/>
    </row>
    <row r="227" spans="1:65">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c r="AA227" s="108"/>
      <c r="AB227" s="108"/>
      <c r="AC227" s="108"/>
      <c r="AD227" s="108"/>
      <c r="AE227" s="108"/>
      <c r="AF227" s="108"/>
      <c r="AG227" s="108"/>
      <c r="AH227" s="108"/>
      <c r="AI227" s="108"/>
      <c r="AJ227" s="108"/>
      <c r="AK227" s="108"/>
      <c r="AL227" s="108"/>
      <c r="AM227" s="108"/>
      <c r="AN227" s="108"/>
      <c r="AO227" s="108"/>
      <c r="AP227" s="108"/>
      <c r="AQ227" s="108"/>
      <c r="AR227" s="108"/>
      <c r="AS227" s="108"/>
      <c r="AT227" s="108"/>
      <c r="AU227" s="108"/>
      <c r="AV227" s="108"/>
      <c r="AW227" s="108"/>
      <c r="AX227" s="108"/>
      <c r="AY227" s="108"/>
      <c r="AZ227" s="108"/>
      <c r="BA227" s="108"/>
      <c r="BB227" s="108"/>
      <c r="BC227" s="108"/>
      <c r="BD227" s="108"/>
      <c r="BE227" s="108"/>
      <c r="BF227" s="108"/>
      <c r="BG227" s="108"/>
      <c r="BH227" s="108"/>
      <c r="BI227" s="108"/>
      <c r="BJ227" s="108"/>
      <c r="BK227" s="108"/>
      <c r="BL227" s="108"/>
      <c r="BM227" s="108"/>
    </row>
    <row r="228" spans="1:65">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c r="AA228" s="108"/>
      <c r="AB228" s="108"/>
      <c r="AC228" s="108"/>
      <c r="AD228" s="108"/>
      <c r="AE228" s="108"/>
      <c r="AF228" s="108"/>
      <c r="AG228" s="108"/>
      <c r="AH228" s="108"/>
      <c r="AI228" s="108"/>
      <c r="AJ228" s="108"/>
      <c r="AK228" s="108"/>
      <c r="AL228" s="108"/>
      <c r="AM228" s="108"/>
      <c r="AN228" s="108"/>
      <c r="AO228" s="108"/>
      <c r="AP228" s="108"/>
      <c r="AQ228" s="108"/>
      <c r="AR228" s="108"/>
      <c r="AS228" s="108"/>
      <c r="AT228" s="108"/>
      <c r="AU228" s="108"/>
      <c r="AV228" s="108"/>
      <c r="AW228" s="108"/>
      <c r="AX228" s="108"/>
      <c r="AY228" s="108"/>
      <c r="AZ228" s="108"/>
      <c r="BA228" s="108"/>
      <c r="BB228" s="108"/>
      <c r="BC228" s="108"/>
      <c r="BD228" s="108"/>
      <c r="BE228" s="108"/>
      <c r="BF228" s="108"/>
      <c r="BG228" s="108"/>
      <c r="BH228" s="108"/>
      <c r="BI228" s="108"/>
      <c r="BJ228" s="108"/>
      <c r="BK228" s="108"/>
      <c r="BL228" s="108"/>
      <c r="BM228" s="108"/>
    </row>
    <row r="229" spans="1:65">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c r="AA229" s="108"/>
      <c r="AB229" s="108"/>
      <c r="AC229" s="108"/>
      <c r="AD229" s="108"/>
      <c r="AE229" s="108"/>
      <c r="AF229" s="108"/>
      <c r="AG229" s="108"/>
      <c r="AH229" s="108"/>
      <c r="AI229" s="108"/>
      <c r="AJ229" s="108"/>
      <c r="AK229" s="108"/>
      <c r="AL229" s="108"/>
      <c r="AM229" s="108"/>
      <c r="AN229" s="108"/>
      <c r="AO229" s="108"/>
      <c r="AP229" s="108"/>
      <c r="AQ229" s="108"/>
      <c r="AR229" s="108"/>
      <c r="AS229" s="108"/>
      <c r="AT229" s="108"/>
      <c r="AU229" s="108"/>
      <c r="AV229" s="108"/>
      <c r="AW229" s="108"/>
      <c r="AX229" s="108"/>
      <c r="AY229" s="108"/>
      <c r="AZ229" s="108"/>
      <c r="BA229" s="108"/>
      <c r="BB229" s="108"/>
      <c r="BC229" s="108"/>
      <c r="BD229" s="108"/>
      <c r="BE229" s="108"/>
      <c r="BF229" s="108"/>
      <c r="BG229" s="108"/>
      <c r="BH229" s="108"/>
      <c r="BI229" s="108"/>
      <c r="BJ229" s="108"/>
      <c r="BK229" s="108"/>
      <c r="BL229" s="108"/>
      <c r="BM229" s="108"/>
    </row>
    <row r="230" spans="1:65">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c r="AA230" s="108"/>
      <c r="AB230" s="108"/>
      <c r="AC230" s="108"/>
      <c r="AD230" s="108"/>
      <c r="AE230" s="108"/>
      <c r="AF230" s="108"/>
      <c r="AG230" s="108"/>
      <c r="AH230" s="108"/>
      <c r="AI230" s="108"/>
      <c r="AJ230" s="108"/>
      <c r="AK230" s="108"/>
      <c r="AL230" s="108"/>
      <c r="AM230" s="108"/>
      <c r="AN230" s="108"/>
      <c r="AO230" s="108"/>
      <c r="AP230" s="108"/>
      <c r="AQ230" s="108"/>
      <c r="AR230" s="108"/>
      <c r="AS230" s="108"/>
      <c r="AT230" s="108"/>
      <c r="AU230" s="108"/>
      <c r="AV230" s="108"/>
      <c r="AW230" s="108"/>
      <c r="AX230" s="108"/>
      <c r="AY230" s="108"/>
      <c r="AZ230" s="108"/>
      <c r="BA230" s="108"/>
      <c r="BB230" s="108"/>
      <c r="BC230" s="108"/>
      <c r="BD230" s="108"/>
      <c r="BE230" s="108"/>
      <c r="BF230" s="108"/>
      <c r="BG230" s="108"/>
      <c r="BH230" s="108"/>
      <c r="BI230" s="108"/>
      <c r="BJ230" s="108"/>
      <c r="BK230" s="108"/>
      <c r="BL230" s="108"/>
      <c r="BM230" s="108"/>
    </row>
    <row r="231" spans="1:65">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c r="AA231" s="108"/>
      <c r="AB231" s="108"/>
      <c r="AC231" s="108"/>
      <c r="AD231" s="108"/>
      <c r="AE231" s="108"/>
      <c r="AF231" s="108"/>
      <c r="AG231" s="108"/>
      <c r="AH231" s="108"/>
      <c r="AI231" s="108"/>
      <c r="AJ231" s="108"/>
      <c r="AK231" s="108"/>
      <c r="AL231" s="108"/>
      <c r="AM231" s="108"/>
      <c r="AN231" s="108"/>
      <c r="AO231" s="108"/>
      <c r="AP231" s="108"/>
      <c r="AQ231" s="108"/>
      <c r="AR231" s="108"/>
      <c r="AS231" s="108"/>
      <c r="AT231" s="108"/>
      <c r="AU231" s="108"/>
      <c r="AV231" s="108"/>
      <c r="AW231" s="108"/>
      <c r="AX231" s="108"/>
      <c r="AY231" s="108"/>
      <c r="AZ231" s="108"/>
      <c r="BA231" s="108"/>
      <c r="BB231" s="108"/>
      <c r="BC231" s="108"/>
      <c r="BD231" s="108"/>
      <c r="BE231" s="108"/>
      <c r="BF231" s="108"/>
      <c r="BG231" s="108"/>
      <c r="BH231" s="108"/>
      <c r="BI231" s="108"/>
      <c r="BJ231" s="108"/>
      <c r="BK231" s="108"/>
      <c r="BL231" s="108"/>
      <c r="BM231" s="108"/>
    </row>
    <row r="232" spans="1:65">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c r="AA232" s="108"/>
      <c r="AB232" s="108"/>
      <c r="AC232" s="108"/>
      <c r="AD232" s="108"/>
      <c r="AE232" s="108"/>
      <c r="AF232" s="108"/>
      <c r="AG232" s="108"/>
      <c r="AH232" s="108"/>
      <c r="AI232" s="108"/>
      <c r="AJ232" s="108"/>
      <c r="AK232" s="108"/>
      <c r="AL232" s="108"/>
      <c r="AM232" s="108"/>
      <c r="AN232" s="108"/>
      <c r="AO232" s="108"/>
      <c r="AP232" s="108"/>
      <c r="AQ232" s="108"/>
      <c r="AR232" s="108"/>
      <c r="AS232" s="108"/>
      <c r="AT232" s="108"/>
      <c r="AU232" s="108"/>
      <c r="AV232" s="108"/>
      <c r="AW232" s="108"/>
      <c r="AX232" s="108"/>
      <c r="AY232" s="108"/>
      <c r="AZ232" s="108"/>
      <c r="BA232" s="108"/>
      <c r="BB232" s="108"/>
      <c r="BC232" s="108"/>
      <c r="BD232" s="108"/>
      <c r="BE232" s="108"/>
      <c r="BF232" s="108"/>
      <c r="BG232" s="108"/>
      <c r="BH232" s="108"/>
      <c r="BI232" s="108"/>
      <c r="BJ232" s="108"/>
      <c r="BK232" s="108"/>
      <c r="BL232" s="108"/>
      <c r="BM232" s="108"/>
    </row>
    <row r="233" spans="1:65">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c r="AA233" s="108"/>
      <c r="AB233" s="108"/>
      <c r="AC233" s="108"/>
      <c r="AD233" s="108"/>
      <c r="AE233" s="108"/>
      <c r="AF233" s="108"/>
      <c r="AG233" s="108"/>
      <c r="AH233" s="108"/>
      <c r="AI233" s="108"/>
      <c r="AJ233" s="108"/>
      <c r="AK233" s="108"/>
      <c r="AL233" s="108"/>
      <c r="AM233" s="108"/>
      <c r="AN233" s="108"/>
      <c r="AO233" s="108"/>
      <c r="AP233" s="108"/>
      <c r="AQ233" s="108"/>
      <c r="AR233" s="108"/>
      <c r="AS233" s="108"/>
      <c r="AT233" s="108"/>
      <c r="AU233" s="108"/>
      <c r="AV233" s="108"/>
      <c r="AW233" s="108"/>
      <c r="AX233" s="108"/>
      <c r="AY233" s="108"/>
      <c r="AZ233" s="108"/>
      <c r="BA233" s="108"/>
      <c r="BB233" s="108"/>
      <c r="BC233" s="108"/>
      <c r="BD233" s="108"/>
      <c r="BE233" s="108"/>
      <c r="BF233" s="108"/>
      <c r="BG233" s="108"/>
      <c r="BH233" s="108"/>
      <c r="BI233" s="108"/>
      <c r="BJ233" s="108"/>
      <c r="BK233" s="108"/>
      <c r="BL233" s="108"/>
      <c r="BM233" s="108"/>
    </row>
    <row r="234" spans="1:65">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c r="AA234" s="108"/>
      <c r="AB234" s="108"/>
      <c r="AC234" s="108"/>
      <c r="AD234" s="108"/>
      <c r="AE234" s="108"/>
      <c r="AF234" s="108"/>
      <c r="AG234" s="108"/>
      <c r="AH234" s="108"/>
      <c r="AI234" s="108"/>
      <c r="AJ234" s="108"/>
      <c r="AK234" s="108"/>
      <c r="AL234" s="108"/>
      <c r="AM234" s="108"/>
      <c r="AN234" s="108"/>
      <c r="AO234" s="108"/>
      <c r="AP234" s="108"/>
      <c r="AQ234" s="108"/>
      <c r="AR234" s="108"/>
      <c r="AS234" s="108"/>
      <c r="AT234" s="108"/>
      <c r="AU234" s="108"/>
      <c r="AV234" s="108"/>
      <c r="AW234" s="108"/>
      <c r="AX234" s="108"/>
      <c r="AY234" s="108"/>
      <c r="AZ234" s="108"/>
      <c r="BA234" s="108"/>
      <c r="BB234" s="108"/>
      <c r="BC234" s="108"/>
      <c r="BD234" s="108"/>
      <c r="BE234" s="108"/>
      <c r="BF234" s="108"/>
      <c r="BG234" s="108"/>
      <c r="BH234" s="108"/>
      <c r="BI234" s="108"/>
      <c r="BJ234" s="108"/>
      <c r="BK234" s="108"/>
      <c r="BL234" s="108"/>
      <c r="BM234" s="108"/>
    </row>
    <row r="235" spans="1:65">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c r="AA235" s="108"/>
      <c r="AB235" s="108"/>
      <c r="AC235" s="108"/>
      <c r="AD235" s="108"/>
      <c r="AE235" s="108"/>
      <c r="AF235" s="108"/>
      <c r="AG235" s="108"/>
      <c r="AH235" s="108"/>
      <c r="AI235" s="108"/>
      <c r="AJ235" s="108"/>
      <c r="AK235" s="108"/>
      <c r="AL235" s="108"/>
      <c r="AM235" s="108"/>
      <c r="AN235" s="108"/>
      <c r="AO235" s="108"/>
      <c r="AP235" s="108"/>
      <c r="AQ235" s="108"/>
      <c r="AR235" s="108"/>
      <c r="AS235" s="108"/>
      <c r="AT235" s="108"/>
      <c r="AU235" s="108"/>
      <c r="AV235" s="108"/>
      <c r="AW235" s="108"/>
      <c r="AX235" s="108"/>
      <c r="AY235" s="108"/>
      <c r="AZ235" s="108"/>
      <c r="BA235" s="108"/>
      <c r="BB235" s="108"/>
      <c r="BC235" s="108"/>
      <c r="BD235" s="108"/>
      <c r="BE235" s="108"/>
      <c r="BF235" s="108"/>
      <c r="BG235" s="108"/>
      <c r="BH235" s="108"/>
      <c r="BI235" s="108"/>
      <c r="BJ235" s="108"/>
      <c r="BK235" s="108"/>
      <c r="BL235" s="108"/>
      <c r="BM235" s="108"/>
    </row>
    <row r="236" spans="1:65">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c r="AA236" s="108"/>
      <c r="AB236" s="108"/>
      <c r="AC236" s="108"/>
      <c r="AD236" s="108"/>
      <c r="AE236" s="108"/>
      <c r="AF236" s="108"/>
      <c r="AG236" s="108"/>
      <c r="AH236" s="108"/>
      <c r="AI236" s="108"/>
      <c r="AJ236" s="108"/>
      <c r="AK236" s="108"/>
      <c r="AL236" s="108"/>
      <c r="AM236" s="108"/>
      <c r="AN236" s="108"/>
      <c r="AO236" s="108"/>
      <c r="AP236" s="108"/>
      <c r="AQ236" s="108"/>
      <c r="AR236" s="108"/>
      <c r="AS236" s="108"/>
      <c r="AT236" s="108"/>
      <c r="AU236" s="108"/>
      <c r="AV236" s="108"/>
      <c r="AW236" s="108"/>
      <c r="AX236" s="108"/>
      <c r="AY236" s="108"/>
      <c r="AZ236" s="108"/>
      <c r="BA236" s="108"/>
      <c r="BB236" s="108"/>
      <c r="BC236" s="108"/>
      <c r="BD236" s="108"/>
      <c r="BE236" s="108"/>
      <c r="BF236" s="108"/>
      <c r="BG236" s="108"/>
      <c r="BH236" s="108"/>
      <c r="BI236" s="108"/>
      <c r="BJ236" s="108"/>
      <c r="BK236" s="108"/>
      <c r="BL236" s="108"/>
      <c r="BM236" s="108"/>
    </row>
    <row r="237" spans="1:65">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c r="AA237" s="108"/>
      <c r="AB237" s="108"/>
      <c r="AC237" s="108"/>
      <c r="AD237" s="108"/>
      <c r="AE237" s="108"/>
      <c r="AF237" s="108"/>
      <c r="AG237" s="108"/>
      <c r="AH237" s="108"/>
      <c r="AI237" s="108"/>
      <c r="AJ237" s="108"/>
      <c r="AK237" s="108"/>
      <c r="AL237" s="108"/>
      <c r="AM237" s="108"/>
      <c r="AN237" s="108"/>
      <c r="AO237" s="108"/>
      <c r="AP237" s="108"/>
      <c r="AQ237" s="108"/>
      <c r="AR237" s="108"/>
      <c r="AS237" s="108"/>
      <c r="AT237" s="108"/>
      <c r="AU237" s="108"/>
      <c r="AV237" s="108"/>
      <c r="AW237" s="108"/>
      <c r="AX237" s="108"/>
      <c r="AY237" s="108"/>
      <c r="AZ237" s="108"/>
      <c r="BA237" s="108"/>
      <c r="BB237" s="108"/>
      <c r="BC237" s="108"/>
      <c r="BD237" s="108"/>
      <c r="BE237" s="108"/>
      <c r="BF237" s="108"/>
      <c r="BG237" s="108"/>
      <c r="BH237" s="108"/>
      <c r="BI237" s="108"/>
      <c r="BJ237" s="108"/>
      <c r="BK237" s="108"/>
      <c r="BL237" s="108"/>
      <c r="BM237" s="108"/>
    </row>
  </sheetData>
  <sheetProtection sheet="1" objects="1" scenarios="1"/>
  <mergeCells count="3">
    <mergeCell ref="B3:C3"/>
    <mergeCell ref="E3:F3"/>
    <mergeCell ref="H3:I3"/>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Influencer Pricing Worksheet</vt:lpstr>
      <vt:lpstr>Insights Pricing Worksheet</vt:lpstr>
      <vt:lpstr>Insights Pricing Worksheet (1)</vt:lpstr>
      <vt:lpstr>Calculator</vt:lpstr>
      <vt:lpstr>Data </vt:lpstr>
      <vt:lpstr>Margin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Kate  Holloway</cp:lastModifiedBy>
  <cp:lastPrinted>2023-09-08T16:01:59Z</cp:lastPrinted>
  <dcterms:created xsi:type="dcterms:W3CDTF">2022-10-24T20:22:47Z</dcterms:created>
  <dcterms:modified xsi:type="dcterms:W3CDTF">2026-07-02T18:54:00Z</dcterms:modified>
</cp:coreProperties>
</file>